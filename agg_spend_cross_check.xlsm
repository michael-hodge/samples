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0" windowWidth="9660" windowHeight="5130"/>
  </bookViews>
  <sheets>
    <sheet name="CrossCheck" sheetId="2" r:id="rId1"/>
    <sheet name="AggSpendReport" sheetId="1" r:id="rId2"/>
    <sheet name="Stat" sheetId="3" state="hidden" r:id="rId3"/>
    <sheet name="sql" sheetId="4" state="hidden" r:id="rId4"/>
  </sheets>
  <definedNames>
    <definedName name="_xlnm._FilterDatabase" localSheetId="1" hidden="1">AggSpendReport!#REF!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0">CrossCheck!$1:$4</definedName>
  </definedNames>
  <calcPr calcId="145621"/>
</workbook>
</file>

<file path=xl/calcChain.xml><?xml version="1.0" encoding="utf-8"?>
<calcChain xmlns="http://schemas.openxmlformats.org/spreadsheetml/2006/main">
  <c r="D4" i="2" l="1"/>
  <c r="C5" i="2"/>
  <c r="C4" i="2" s="1"/>
  <c r="D5" i="2" l="1"/>
  <c r="E5" i="2" l="1"/>
  <c r="E4" i="2" s="1"/>
  <c r="H5" i="2" l="1"/>
  <c r="F5" i="2"/>
  <c r="F4" i="2" s="1"/>
  <c r="G5" i="2" l="1"/>
  <c r="G4" i="2" s="1"/>
</calcChain>
</file>

<file path=xl/sharedStrings.xml><?xml version="1.0" encoding="utf-8"?>
<sst xmlns="http://schemas.openxmlformats.org/spreadsheetml/2006/main" count="2916" uniqueCount="778">
  <si>
    <t>project_code</t>
  </si>
  <si>
    <t>program_number</t>
  </si>
  <si>
    <t>start_date</t>
  </si>
  <si>
    <t>program_status</t>
  </si>
  <si>
    <t>ledger_category</t>
  </si>
  <si>
    <t>amount</t>
  </si>
  <si>
    <t>agg-spend</t>
  </si>
  <si>
    <t>stat</t>
  </si>
  <si>
    <t>registrant_id</t>
  </si>
  <si>
    <t>comment</t>
  </si>
  <si>
    <t>Client:</t>
  </si>
  <si>
    <t>Start Date:</t>
  </si>
  <si>
    <t>End Date:</t>
  </si>
  <si>
    <t>net difference</t>
  </si>
  <si>
    <t>memo</t>
  </si>
  <si>
    <t>program_id</t>
  </si>
  <si>
    <t>program #</t>
  </si>
  <si>
    <t>ledger category</t>
  </si>
  <si>
    <t>program_ledger_category</t>
  </si>
  <si>
    <t>difference</t>
  </si>
  <si>
    <t>no linked registrant</t>
  </si>
  <si>
    <t>ledger_id</t>
  </si>
  <si>
    <t>Food &amp; Beverage</t>
  </si>
  <si>
    <t>Completed</t>
  </si>
  <si>
    <t>Honorarium</t>
  </si>
  <si>
    <t>Hotel</t>
  </si>
  <si>
    <t>Speaker Expenses*</t>
  </si>
  <si>
    <t>Air</t>
  </si>
  <si>
    <t>Cancelled</t>
  </si>
  <si>
    <t>select distinct
pj.code project_code,
p.number program_number,
p.start_date,
ps.description program_status,
case 
when pj.code like 'GRI%15' and lc.description = 'Speaker Expenses*'
  then ls.category collate utf8_general_ci
when pj.code like 'GRI%15' and lc.description &lt;&gt; 'Speaker Expenses*'
  then concat(lc.description, ': ', ifnull(lce.description, ''))
when pj.code like 'IPS%15' and lc.description = 'Speaker Expenses*'
  then ls.category collate utf8_general_ci
when pj.code like 'IPS%15' and lc.description &lt;&gt; 'Speaker Expenses*'
  then concat(lc.description, ': ', ifnull(lce.description, '')) 
when pj.code = 'INSSB15' and lce.description is not null 
  then concat(lc.description, ': ', lce.description)
else lc.description end ledger_category,
concat(p.number, '-', 
case 
when pj.code like 'GRI%15' and lc.description = 'Speaker Expenses*'
  then ls.category collate utf8_general_ci
when pj.code like 'GRI%15' and lc.description &lt;&gt; 'Speaker Expenses*'
  then concat(lc.description, ': ', ifnull(lce.description, ''))
when pj.code like 'IPS%15' and lc.description = 'Speaker Expenses*'
  then ls.category collate utf8_general_ci
when pj.code like 'IPS%15' and lc.description &lt;&gt; 'Speaker Expenses*'
  then concat(lc.description, ': ', ifnull(lce.description, ''))
when pj.code = 'INSSB15' and lce.description is not null 
  then concat(lc.description, ': ', lce.description)
else lc.description end) program_ledger_category,
case 
when pj.code like 'GRI%15' and lc.description = 'Speaker Expenses*' 
  then ls.se_amount
when pj.code like 'IPS%15' and lc.description = 'Speaker Expenses*' 
  then ls.se_amount
when pj.code like 'UT%15' and lc.description = 'Food &amp; Beverage' then
ifnull(lf.gratuity_amount, 0)
  + ifnull(lf.service_charge_amount, 0)
  + ifnull(lf.tax_amount, 0)
  + ifnull(lf.foodbev_only_excluding_deposit_amount, 0) 
  + ifnull(lf.valet_parking_amount, 0)
  + ifnull(lf.delivery_fee_amount, 0)
when pj.code like 'LUN%15' and lc.description = 'Food &amp; Beverage' then
ifnull(lf.gratuity_amount, 0)
  + ifnull(lf.service_charge_amount, 0)
  + ifnull(lf.tax_amount, 0)
  + ifnull(lf.foodbev_only_excluding_deposit_amount, 0) 
  + ifnull(lf.valet_parking_amount, 0)
  + ifnull(lf.delivery_fee_amount, 0)
when pj.code like 'INS%15' and lc.description = 'Food &amp; Beverage' then
ifnull(lf.gratuity_amount, 0)
  + ifnull(lf.service_charge_amount, 0)
  + ifnull(lf.tax_amount, 0)
  + ifnull(lf.foodbev_only_excluding_deposit_amount, 0) 
  + ifnull(lf.valet_parking_amount, 0)
when lc.description = 'Food &amp; Beverage' then
ifnull(lf.gratuity_amount, 0)
  + ifnull(lf.service_charge_amount, 0)
  + ifnull(lf.tax_amount, 0)
  + ifnull(lf.foodbev_only_excluding_deposit_amount, 0) 
  + ifnull(lf.valet_parking_amount, 0)
else l.amount_actual 
end amount,
l.fk_registrant_id,
case 
when c.client_identifier = 'NOT REPORTABLE'
then concat(l.memo, ' {Speaker Not Reportable}') 
else l.memo end memo,
p.id program_id,
l.id ledger_id
from
stat_pm_production.project pj
join stat_pm_production.program p on p.fk_project_id = pj.id
join stat_pm_production.program_status ps on p.fk_program_status_id = ps.id
join stat_pm_production.ledger l on l.fk_program_id = p.id
join stat_pm_production.ledger_category lc on l.fk_ledger_category_id = lc.id
left join stat_pm_production.ledger_foodbev_split lf on l.fk_ledger_foodbev_split_id = lf.id
left join stat_pm_production.ledger_category_explanation lce on l.fk_ledger_category_explanation_id = lce.id
left join stat_pm_production.registrant r on l.fk_registrant_id = r.id
left join stat_pm_production.speaker_assignment sa on r.fk_speaker_assignment_id = sa.id
left join stat_pm_production.speaker_profile sp on sa.fk_speaker_profile_id = sp.id
left join stat_pm_production.speaker s on sp.fk_speaker_id = s.id
left join stat_pm_production.contact c on s.fk_contact_id = c.id
left join
(select id,'Accommodations' category, accomodations_amount se_amount from ledger_speaker_expense_split where accomodations_amount &gt; 0
union select id,'Food &amp; Bev' category, foodbev_amount se_amount from ledger_speaker_expense_split where foodbev_amount &gt; 0
union select id,'Tips' category, tips_amount se_amount from ledger_speaker_expense_split where tips_amount &gt; 0
union select id,'Travel Air' category, travel_air_amount se_amount from ledger_speaker_expense_split where travel_air_amount &gt; 0
union select id,'Travel Car Rental' category, travel_car_rental_amount se_amount from ledger_speaker_expense_split where travel_car_rental_amount &gt; 0
union select id,'Travel Car Service' category, travel_car_service_amount se_amount from ledger_speaker_expense_split where travel_car_service_amount &gt; 0
union select id,'Travel Mass Transit' category, travel_mass_transit_amount se_amount from ledger_speaker_expense_split where travel_mass_transit_amount &gt; 0
union select id,'Travel Mileage' category, travel_mileage_amount se_amount from ledger_speaker_expense_split where travel_mileage_amount &gt; 0
union select id,'Travel Parking' category, travel_parking_amount se_amount from ledger_speaker_expense_split where travel_parking_amount &gt; 0
union select id,'Travel Taxi' category, travel_taxi_amount se_amount from ledger_speaker_expense_split where travel_taxi_amount &gt; 0
union select id,'Travel Tolls' category, travel_tolls_amount se_amount from ledger_speaker_expense_split where travel_tolls_amount &gt; 0) ls on l.fk_ledger_speaker_expense_split_id = ls.id
where
year(p.start_date) = 2015
 and lc.description in ('Air', 'Ground', 'Hotel', 'Honorarium', 'Food &amp; Beverage', 'Speaker Expenses*')
 and p.number not like ('5098%')
 and p.number not like ('5097%')
 and p.number not like ('5299%')
 and p.number not like ('5298%')
 and p.number not like ('5297%')
 and p.number not like ('5499%')
 and p.number not like ('5498%')
 and p.number not like ('5497%')
 and p.number not like ('5599%')
 and p.number not like ('5598%')
 and p.number not like ('5597%')
 and p.number not like ('5790%')
 and p.number not like ('5791%')
 and p.number not like ('5696%')
 and p.number not like ('5697%')
 and p.number not like ('5699%')</t>
  </si>
  <si>
    <t>Panera</t>
  </si>
  <si>
    <t>Ruth's Chris</t>
  </si>
  <si>
    <t>The Capital Grille</t>
  </si>
  <si>
    <t>Hilton Garden Inn</t>
  </si>
  <si>
    <t>Courtyard by Marriott   Hotel Accommodations</t>
  </si>
  <si>
    <t>Chili's</t>
  </si>
  <si>
    <t>Olive Garden</t>
  </si>
  <si>
    <t>Panevino</t>
  </si>
  <si>
    <t>Arbor</t>
  </si>
  <si>
    <t>Travel Experts Inc Raleigh   Air Transportation - 5245359 - Brams</t>
  </si>
  <si>
    <t>3605AU1115</t>
  </si>
  <si>
    <t>McLaurin Trans Fee</t>
  </si>
  <si>
    <t>McLaurin</t>
  </si>
  <si>
    <t>3554AU0415</t>
  </si>
  <si>
    <t>Travel Experts Inc Raleigh   Air Transportation - 5242819 - Pages</t>
  </si>
  <si>
    <t>3999JL3115</t>
  </si>
  <si>
    <t>McLaurin Travel Services   Air Transportation - 5242812 - Karpf</t>
  </si>
  <si>
    <t>Travel Experts Inc Raleigh   Air Transportation - 5242815 - Cooper</t>
  </si>
  <si>
    <t>McLaurin Travel Services   Air Transportation - 5242815 - Cooper</t>
  </si>
  <si>
    <t>Travel Experts Inc Raleigh   Air Transportation - 5242922 -Bright</t>
  </si>
  <si>
    <t>Seat purchase 5243261 Glass</t>
  </si>
  <si>
    <t>McLaurin Travel Services Air Transportation  5242922 - Bright</t>
  </si>
  <si>
    <t>McLaurin Travel Services   Air Transportation - 5242989 - Ginsberg</t>
  </si>
  <si>
    <t>Travel Experts Inc Raleigh   Air Transportation - 5242802 - Friedman</t>
  </si>
  <si>
    <t>Travel Experts Inc Raleigh   Air Transportation - 5244301 - Cutler</t>
  </si>
  <si>
    <t>3999AU1815NB</t>
  </si>
  <si>
    <t>Travel Experts Inc Raleigh   Air Transportation - 5242989 - Ginsberg</t>
  </si>
  <si>
    <t>Travel Experts Inc Raleigh   Air Transportation - 5242812 - Karpf</t>
  </si>
  <si>
    <t>Travel Experts Inc Raleigh   Air Transportation - 5242817 - Laakso</t>
  </si>
  <si>
    <t>Travel Experts Inc Raleigh   Air Transportation - 5244952 - Shapiro</t>
  </si>
  <si>
    <t>Travel Experts Inc Raleigh   Air Transportation - 5243163 - Brams</t>
  </si>
  <si>
    <t>Travel Experts Inc Raleigh   Air Transportation - 5243154 - Cady</t>
  </si>
  <si>
    <t>Travel Experts Inc Raleigh   Air Transportation - 5243024 - Cutler</t>
  </si>
  <si>
    <t>Travel Experts Inc Raleigh   Air Transportation - 5243261 - Glass</t>
  </si>
  <si>
    <t>Travel Experts Inc Raleigh   Air Transportation - 5243141 - Horwitz</t>
  </si>
  <si>
    <t>Travel Experts Inc Raleigh   Air Transportation - 5243162 - Mao</t>
  </si>
  <si>
    <t>Travel Experts Inc Raleigh   Air Transportation - 5243226 - Ott</t>
  </si>
  <si>
    <t>Travel Experts Inc Raleigh   Air Transportation - 5243266 - Tafazoli</t>
  </si>
  <si>
    <t>Travel Experts Inc Raleigh   Air Transportation - 5243321 - Tucker</t>
  </si>
  <si>
    <t>Travel Experts Inc Raleigh   Air Transportation - 5243204 - Winer</t>
  </si>
  <si>
    <t>Travel Experts Inc Raleigh   Air Transportation - 5243496 - Amann</t>
  </si>
  <si>
    <t>Travel Experts Inc Raleigh   Air Transportation - 5243462 - Cerulli</t>
  </si>
  <si>
    <t>Travel Experts Inc Raleigh   Air Transportation - 5243323 - Davis</t>
  </si>
  <si>
    <t>Travel Experts Inc Raleigh   Air Transportation - 5243347 - Patel</t>
  </si>
  <si>
    <t>Travel Experts Inc Raleigh   Air Transportation - 5243432 - Soliman</t>
  </si>
  <si>
    <t>Travel Experts Inc Raleigh   Air Transportation - 5243650 - Burgarino</t>
  </si>
  <si>
    <t>Travel Experts Inc Raleigh   Air Transportation - 5243701 - Childress</t>
  </si>
  <si>
    <t>Travel Experts Inc Raleigh   Air Transportation - 5243671 - Young</t>
  </si>
  <si>
    <t>Travel Experts Inc Raleigh   Air Transportation - 5243837 - Custer</t>
  </si>
  <si>
    <t>Travel Experts Inc Raleigh   Air Transportation - 5243593 - Giraldo</t>
  </si>
  <si>
    <t>Travel Experts Inc Raleigh   Air Transportation - 5243586 - Merriweather Knowles</t>
  </si>
  <si>
    <t>Travel Experts Inc Raleigh   Air Transportation - 5243676 - Nelson</t>
  </si>
  <si>
    <t>Travel Experts Inc Raleigh   Air Transportation -5243882 - Batory</t>
  </si>
  <si>
    <t>Travel Experts Inc Raleigh   Air Transportation - 5243906 - Foreman</t>
  </si>
  <si>
    <t>Travel Experts Inc Raleigh   Air Transportation - 5244022 - Levinsohn</t>
  </si>
  <si>
    <t>Travel Experts Inc Raleigh   Air Transportation - 5244352 - Sweet</t>
  </si>
  <si>
    <t>Travel Experts Inc Raleigh   Air Transportation - 5244129 - Raheja</t>
  </si>
  <si>
    <t>Travel Experts Inc Raleigh   Air Transportation - 5243904 - Zanolli</t>
  </si>
  <si>
    <t>Travel Experts Inc Raleigh   Air Transportation - 5244288 - Clawson</t>
  </si>
  <si>
    <t>Travel Experts Inc Raleigh   Air Transportation - 5244381 - Greenberg</t>
  </si>
  <si>
    <t>Travel Experts Inc Raleigh   Air Transportation - 5244185 - McEnaney</t>
  </si>
  <si>
    <t>Travel Experts Inc Raleigh   Air Transportation - 5244829 - Atkins</t>
  </si>
  <si>
    <t>Travel Experts Inc Raleigh   Air Transportation - 5244890 - Berger</t>
  </si>
  <si>
    <t>Travel Experts Inc Raleigh   Air Transportation - 5244733 - Sbiliris</t>
  </si>
  <si>
    <t>Travel Experts Inc Raleigh   Air Transportation - 5245123 - Young</t>
  </si>
  <si>
    <t>3589AU0615B</t>
  </si>
  <si>
    <t>Travel Experts Inc Raleigh   Air Transportation - 5245306 - Owens</t>
  </si>
  <si>
    <t>Travel Experts Inc Raleigh   Air Transportation - 6009212 - Laakso</t>
  </si>
  <si>
    <t>McLaurin Fee</t>
  </si>
  <si>
    <t>Travel Experts Inc Raleigh   Air Transportation - 5247332 - Childress</t>
  </si>
  <si>
    <t>Travel Experts Inc Raleigh   Air Transportation - 5247709 - Young</t>
  </si>
  <si>
    <t>McLaurin Travel Services   Air Transportation - 5244301 - Cutler</t>
  </si>
  <si>
    <t>McLaurin Travel Services   Air Transportation - 5245123 - Young</t>
  </si>
  <si>
    <t>Travel Experts Inc Raleigh   Air Transportation - 5250969 - Young</t>
  </si>
  <si>
    <t>3546SE2915</t>
  </si>
  <si>
    <t>McLaurin Travel Services   Air Transportation - 5242817 - Laakso</t>
  </si>
  <si>
    <t>McLaurin Travel Services   Air Transportation - 5242819 - Pages</t>
  </si>
  <si>
    <t>McLaurin Travel Services   Air Transportation - 5244952 - Shapiro</t>
  </si>
  <si>
    <t>McLaurin Travel Services   Air Transportation - 5243163 - Brams</t>
  </si>
  <si>
    <t>McLaurin Travel Services   Air Transportation - 5243154 - Cady</t>
  </si>
  <si>
    <t>McLaurin Travel Services   Air Transportation - 5243024 - Cutler</t>
  </si>
  <si>
    <t>McLaurin Travel Services   Air Transportation - 5243261 - Glass</t>
  </si>
  <si>
    <t>McLaurin Travel Services   Air Transportation - 5243141 - Horwitz</t>
  </si>
  <si>
    <t>McLaurin Travel Services   Air Transportation - 5243162 - Mao</t>
  </si>
  <si>
    <t>McLaurin Travel Services   Air Transportation - 5243226 - Ott</t>
  </si>
  <si>
    <t>McLaurin Travel Services   Air Transportation - 5243266 - Tafazoli</t>
  </si>
  <si>
    <t>McLaurin Travel Services   Air Transportation - 5243321 - Tucker</t>
  </si>
  <si>
    <t>McLaurin Travel Services   Air Transportation - 5243204 - Winer</t>
  </si>
  <si>
    <t>McLaurin Travel Services   Air Transportation - 5243496 - Amann</t>
  </si>
  <si>
    <t>McLaurin Travel Services   Air Transportation - 5243462 - Cerulli Banks</t>
  </si>
  <si>
    <t>McLaurin Travel Services   Air Transportation - 5243323 - Davis</t>
  </si>
  <si>
    <t>McLaurin Travel Services   Air Transportation - 5243347 - Patel</t>
  </si>
  <si>
    <t>McLaurin Travel Services   Air Transportation- 5243347 - Patel</t>
  </si>
  <si>
    <t>McLaurin Travel Services   Air Transportation - 5243432 - Soliman</t>
  </si>
  <si>
    <t>McLaurin Travel Services   Air Transportation - 5243650 - Burgarino</t>
  </si>
  <si>
    <t>McLaurin Travel Services   Air Transportation - 5243701 - Childress</t>
  </si>
  <si>
    <t>McLaurin Travel Services   Air Transportation - 5243837 - Custer</t>
  </si>
  <si>
    <t>McLaurin Travel Services   Air Transportation - 5243593 - Giraldo</t>
  </si>
  <si>
    <t>McLaurin Travel Services   Air Transportation - 5243586 - Merriweather Knowles</t>
  </si>
  <si>
    <t>McLaurin Travel Services   Air Transportation - 5243676 - Nelson</t>
  </si>
  <si>
    <t>McLaurin Travel Services   Air Transportation - 5243671 - Young</t>
  </si>
  <si>
    <t>McLaurin Travel Services   Air Transportation - 5243882 - Batory</t>
  </si>
  <si>
    <t>McLaurin Travel Services   Air Transportation - 5243906 - Foreman</t>
  </si>
  <si>
    <t>McLaurin Travel Services   Air Transportation - 5244022 - Levinsohn</t>
  </si>
  <si>
    <t>McLaurin Travel Services   Air Transportation - 5244129 - Raheja</t>
  </si>
  <si>
    <t>McLaurin Travel Services   Air Transportation - 5244352 - Sweet</t>
  </si>
  <si>
    <t>McLaurin Travel Services   Air Transportation - 5243904 - Zanolli</t>
  </si>
  <si>
    <t>McLaurin Travel Services   Air Transportation- 5243904 - Zanolli</t>
  </si>
  <si>
    <t>McLaurin Travel Services   Air Transportation - 5244288 - Clawson</t>
  </si>
  <si>
    <t>McLaurin Travel Services   Air Transportation -5244288 - Clawson</t>
  </si>
  <si>
    <t>McLaurin Travel Services   Air Transportation - 5244384 - Greenberg</t>
  </si>
  <si>
    <t>McLaurin Travel Services   Air Transportation - 5244381 - Greenberg</t>
  </si>
  <si>
    <t>McLaurin Travel Services   Air Transportation - 5244185 - McEnaney</t>
  </si>
  <si>
    <t>McLaurin Travel Services   Air Transportation - 5244829 - Atkins</t>
  </si>
  <si>
    <t>McLaurin Travel Services   Air Transportation- 5244829 - Atkins</t>
  </si>
  <si>
    <t>McLaurin Travel Services   Air Transportation - 5246379 - Berger</t>
  </si>
  <si>
    <t>McLaurin Travel Services   Air Transportation - 5244733 - Sbiliris</t>
  </si>
  <si>
    <t>McLaurin Travel Services   Air Transportation - 5245306 - Owens</t>
  </si>
  <si>
    <t>McLaurin Travel Services   Air Transportation - 5245937 - Cerulli</t>
  </si>
  <si>
    <t>McLaurin Travel Services   Air Transportation - 5245980 - Cerulli</t>
  </si>
  <si>
    <t>McLaurin Travel Services   Air Transportation - 6009212 - Laakso</t>
  </si>
  <si>
    <t>NEED RECEIPT:  McLaurin Fee</t>
  </si>
  <si>
    <t>3562SE2915</t>
  </si>
  <si>
    <t>Travel Experts Inc Raleigh   Air Transportation - 5250915 - Young</t>
  </si>
  <si>
    <t>3547SE1515</t>
  </si>
  <si>
    <t>Travel Experts Inc Raleigh   Air Transportation- 5250915 - Young</t>
  </si>
  <si>
    <t>3547SE1615</t>
  </si>
  <si>
    <t>Travel Experts Inc Raleigh   Air Transportation - 5250969 -  Young</t>
  </si>
  <si>
    <t>3548SE3015B</t>
  </si>
  <si>
    <t>3549SE2415A</t>
  </si>
  <si>
    <t>McLaurin Travel Services   Air Transportation - 5247332 - Childress</t>
  </si>
  <si>
    <t>McLaurin Travel Services   Air Transportation - 5249180 - Young</t>
  </si>
  <si>
    <t>split with 3617SE2315B</t>
  </si>
  <si>
    <t>3620SE2215A</t>
  </si>
  <si>
    <t>Travel Experts Inc Raleigh   Air Transportation - 5255985 - Glass</t>
  </si>
  <si>
    <t xml:space="preserve">McLaurin </t>
  </si>
  <si>
    <t>3549SE2415B</t>
  </si>
  <si>
    <t>NEED RECEIPT:  McLaurin - Hertz Rental Car</t>
  </si>
  <si>
    <t>Ground</t>
  </si>
  <si>
    <t>NEED RECEIPT: Doubletree by Hilton IN HOUSE</t>
  </si>
  <si>
    <t>Proximity Hotel IN HOUSE</t>
  </si>
  <si>
    <t>Doubletree by Hilton</t>
  </si>
  <si>
    <t>Hilton   Hotel Accommodations</t>
  </si>
  <si>
    <t>Doubletree Hilton - Lafayette, LA</t>
  </si>
  <si>
    <t>3620SE2215B</t>
  </si>
  <si>
    <t>Westin   Hotel Accommodations - Young</t>
  </si>
  <si>
    <t>Westin   Hotel Accommodations - AChildress</t>
  </si>
  <si>
    <t>Westin   Hotel Accommodations - Cutler</t>
  </si>
  <si>
    <t>FedEx: 6121 0143 4329</t>
  </si>
  <si>
    <t>3515SE0915</t>
  </si>
  <si>
    <t>Training Only</t>
  </si>
  <si>
    <t>Dinner + Training</t>
  </si>
  <si>
    <t>FedEx: 6121 0143 1937</t>
  </si>
  <si>
    <t>3534AU0415</t>
  </si>
  <si>
    <t>Check Req 8/12/15 AB</t>
  </si>
  <si>
    <t>3589AU0615A</t>
  </si>
  <si>
    <t>FedEx: 6121 0143 6788</t>
  </si>
  <si>
    <t>FedEx: 6121 0143 4719</t>
  </si>
  <si>
    <t>3567SE1115</t>
  </si>
  <si>
    <t>Faculty: Dinner + Training</t>
  </si>
  <si>
    <t>FedEx: 6121 0143 1948</t>
  </si>
  <si>
    <t>FedEx: 6121 0143 8769</t>
  </si>
  <si>
    <t>3996SE2915</t>
  </si>
  <si>
    <t>Check Req. 8/12/15 AB</t>
  </si>
  <si>
    <t>3565AU0615</t>
  </si>
  <si>
    <t>8-12-15 MB - check req</t>
  </si>
  <si>
    <t>3645AU0415</t>
  </si>
  <si>
    <t>FedEx: 6121 0143 1915</t>
  </si>
  <si>
    <t>3597AU0315</t>
  </si>
  <si>
    <t>FedEx: 6121 0143 1960</t>
  </si>
  <si>
    <t>3653AU0315</t>
  </si>
  <si>
    <t>FedEx: 6121 0143 1981</t>
  </si>
  <si>
    <t>3567AU0315</t>
  </si>
  <si>
    <t>3633AU0415</t>
  </si>
  <si>
    <t>3567AU1115</t>
  </si>
  <si>
    <t>FedEx: 6121 0143 1889</t>
  </si>
  <si>
    <t>3580AU0415</t>
  </si>
  <si>
    <t>3629AU0415</t>
  </si>
  <si>
    <t>3624AU0415</t>
  </si>
  <si>
    <t>3542AU0515</t>
  </si>
  <si>
    <t>3629AU1115</t>
  </si>
  <si>
    <t>Check Req - 8/17/15 AB</t>
  </si>
  <si>
    <t>3597AU1315</t>
  </si>
  <si>
    <t>Check Req. 8/17/15 AB</t>
  </si>
  <si>
    <t>3633AU1315</t>
  </si>
  <si>
    <t>3624AU1315</t>
  </si>
  <si>
    <t>3633AU1215</t>
  </si>
  <si>
    <t>Training only</t>
  </si>
  <si>
    <t>FedEx: 6121 0143 6799</t>
  </si>
  <si>
    <t>3567SE2415</t>
  </si>
  <si>
    <t>FedEx: 6121 0143 7096</t>
  </si>
  <si>
    <t>FedEx: 6121 0143 4708</t>
  </si>
  <si>
    <t>3640SE1015</t>
  </si>
  <si>
    <t>FedEx: 6121 0143 4693</t>
  </si>
  <si>
    <t>3637SE1015</t>
  </si>
  <si>
    <t>FedEx: 6121 0143 4123</t>
  </si>
  <si>
    <t>3597AU1915</t>
  </si>
  <si>
    <t>FedEx: 6121 0143 4855</t>
  </si>
  <si>
    <t>FedEx: 6121 0143 5690</t>
  </si>
  <si>
    <t>FedEx: 6121 0143 6858</t>
  </si>
  <si>
    <t>3542SE2415</t>
  </si>
  <si>
    <t>Laurie Karpf MD PA   Honorarium - replacement for ck #33106</t>
  </si>
  <si>
    <t>3566AU0415</t>
  </si>
  <si>
    <t>3633AU1715</t>
  </si>
  <si>
    <t>FedEx: 6121 0143 4112</t>
  </si>
  <si>
    <t>3641SE0115</t>
  </si>
  <si>
    <t>FedEx: 6121 0143 4307</t>
  </si>
  <si>
    <t>3630SE0315</t>
  </si>
  <si>
    <t>FedEx: 6121 0143 5704</t>
  </si>
  <si>
    <t>3630SE1615</t>
  </si>
  <si>
    <t>Kevin F McEnaney   Honorarium</t>
  </si>
  <si>
    <t>3542AU1315</t>
  </si>
  <si>
    <t>FedEx: 6121 0143 4318</t>
  </si>
  <si>
    <t>3597SE0915</t>
  </si>
  <si>
    <t>FedEx: 6121 0143 2006</t>
  </si>
  <si>
    <t>FedEx: 6121 0143 1992</t>
  </si>
  <si>
    <t>FedEx: 6121 0143 1904</t>
  </si>
  <si>
    <t>FedEx: 6121 0143 4866</t>
  </si>
  <si>
    <t>3570SE1515</t>
  </si>
  <si>
    <t>FedEx: 6121 0143 6847</t>
  </si>
  <si>
    <t>3638SE2415</t>
  </si>
  <si>
    <t>FedEx: 6121 0143 6870</t>
  </si>
  <si>
    <t>FedEx: 6121 0143 6836</t>
  </si>
  <si>
    <t>FedEx: 6121 0143 5715</t>
  </si>
  <si>
    <t>3585SE1615</t>
  </si>
  <si>
    <t>3617SE2315B</t>
  </si>
  <si>
    <t>3543SE2215</t>
  </si>
  <si>
    <t>FedEx: 6121 0143 4134</t>
  </si>
  <si>
    <t>3633AU3115</t>
  </si>
  <si>
    <t>Lawrence V Tucker MD, PLLC   Honorarium</t>
  </si>
  <si>
    <t>3643SE2215</t>
  </si>
  <si>
    <t>John Naus MD, PA   Honorarium</t>
  </si>
  <si>
    <t>3617SE2315A</t>
  </si>
  <si>
    <t>FedEx: 6121 0143 5726</t>
  </si>
  <si>
    <t>3637SE1715</t>
  </si>
  <si>
    <t>FedEx: 6121 0143 5689</t>
  </si>
  <si>
    <t>3633SE1715</t>
  </si>
  <si>
    <t>FedEx: 6121 0143 7177</t>
  </si>
  <si>
    <t>FedEx: 6121 0143 6825</t>
  </si>
  <si>
    <t>3646SE2415</t>
  </si>
  <si>
    <t>3548SE3015A</t>
  </si>
  <si>
    <t>FedEx: 6121 0143 6869</t>
  </si>
  <si>
    <t>3633SE2315</t>
  </si>
  <si>
    <t>FedEx: 6121 0143 7144</t>
  </si>
  <si>
    <t>3579SE2915</t>
  </si>
  <si>
    <t>FedEx: 6121 0143 7100</t>
  </si>
  <si>
    <t>3597SE3015</t>
  </si>
  <si>
    <t>FedEx: 6121 0143 7133</t>
  </si>
  <si>
    <t>3573SE3015</t>
  </si>
  <si>
    <t>FedEx: 6121 0143 7111</t>
  </si>
  <si>
    <t>3590SE3015</t>
  </si>
  <si>
    <t>7-30-15 MB - pending $100 refund from Mac's</t>
  </si>
  <si>
    <t>3511AU1815NB</t>
  </si>
  <si>
    <t xml:space="preserve"> Qdoba </t>
  </si>
  <si>
    <t>F&amp;B Deposit - Liberty Kitchen</t>
  </si>
  <si>
    <t>3633AU1815NB</t>
  </si>
  <si>
    <t>Mazen Grill</t>
  </si>
  <si>
    <t xml:space="preserve"> Epic Chophouse</t>
  </si>
  <si>
    <t>Morton's Steakhouse</t>
  </si>
  <si>
    <t>Flemming's</t>
  </si>
  <si>
    <t>3617AU1815NB</t>
  </si>
  <si>
    <t>3543AU1815NB</t>
  </si>
  <si>
    <t xml:space="preserve">Reel Club </t>
  </si>
  <si>
    <t>3587AU1815NB</t>
  </si>
  <si>
    <t>Fleming's</t>
  </si>
  <si>
    <t>3578AU1815NB</t>
  </si>
  <si>
    <t>Morton's</t>
  </si>
  <si>
    <t>3527AU1815NB</t>
  </si>
  <si>
    <t xml:space="preserve"> Fleming's</t>
  </si>
  <si>
    <t>3593AU1815NB</t>
  </si>
  <si>
    <t>3646AU1815NB</t>
  </si>
  <si>
    <t>Schlesinger's Steakhouse</t>
  </si>
  <si>
    <t>Season's 52</t>
  </si>
  <si>
    <t>Flemmings</t>
  </si>
  <si>
    <t>Moon Thai</t>
  </si>
  <si>
    <t xml:space="preserve"> Red Steakhouse</t>
  </si>
  <si>
    <t>Elway's   A/V at a restaurant</t>
  </si>
  <si>
    <t>Brimstone Woodfire Grill</t>
  </si>
  <si>
    <t>Maggiano's</t>
  </si>
  <si>
    <t>Kreis's</t>
  </si>
  <si>
    <t>What's for Lunch</t>
  </si>
  <si>
    <t>Chops Lobster Bar   Food &amp; Beverage Final Receipt</t>
  </si>
  <si>
    <t>Tavolino   Food &amp; Beverage Final Receipt</t>
  </si>
  <si>
    <t xml:space="preserve"> Flemmings Steakhouse</t>
  </si>
  <si>
    <t>III Forks   Food &amp; Beverage Final Receipt</t>
  </si>
  <si>
    <t xml:space="preserve"> Perrys</t>
  </si>
  <si>
    <t>Perry's</t>
  </si>
  <si>
    <t>Plum Bistro</t>
  </si>
  <si>
    <t>Giovanni's</t>
  </si>
  <si>
    <t>Cover 3   Food &amp; Beverage Final Receipt</t>
  </si>
  <si>
    <t>Pass &amp; Provisions</t>
  </si>
  <si>
    <t xml:space="preserve">Trulucks </t>
  </si>
  <si>
    <t>Pacifica Del Mar</t>
  </si>
  <si>
    <t xml:space="preserve"> Flemmings</t>
  </si>
  <si>
    <t>3641AU1815NB</t>
  </si>
  <si>
    <t>Ken Stewart's Lodge</t>
  </si>
  <si>
    <t>NEED RECEIPT: Ruth's Chris Steak House IN HOUSE</t>
  </si>
  <si>
    <t>Mark's</t>
  </si>
  <si>
    <t>Something Different Cafe &amp; Catering</t>
  </si>
  <si>
    <t>Del Frisco's</t>
  </si>
  <si>
    <t>What's For Lunch</t>
  </si>
  <si>
    <t>King's Carriage House</t>
  </si>
  <si>
    <t xml:space="preserve"> Fleming's </t>
  </si>
  <si>
    <t>3565AU1815NB</t>
  </si>
  <si>
    <t xml:space="preserve"> Morton's</t>
  </si>
  <si>
    <t>3566AU1815NB</t>
  </si>
  <si>
    <t>3634AU1815NB</t>
  </si>
  <si>
    <t>Ruffino's</t>
  </si>
  <si>
    <t>3620AU1815NB</t>
  </si>
  <si>
    <t>3569AU1815NB</t>
  </si>
  <si>
    <t>3585AU1815NB</t>
  </si>
  <si>
    <t>3570AU1815NB</t>
  </si>
  <si>
    <t xml:space="preserve"> Ruth's Chris</t>
  </si>
  <si>
    <t>3619AU1815NB</t>
  </si>
  <si>
    <t xml:space="preserve">Carlo &amp; Johnny </t>
  </si>
  <si>
    <t>3573AU1815NB</t>
  </si>
  <si>
    <t>3580AU1815NB</t>
  </si>
  <si>
    <t>Eddie V's</t>
  </si>
  <si>
    <t>3627AU1815NB</t>
  </si>
  <si>
    <t>3622AU1815NB</t>
  </si>
  <si>
    <t xml:space="preserve"> Flemming's</t>
  </si>
  <si>
    <t>3501AU1815NB</t>
  </si>
  <si>
    <t xml:space="preserve"> Ruth's Chris </t>
  </si>
  <si>
    <t>3576AU1815NB</t>
  </si>
  <si>
    <t xml:space="preserve">Morton's </t>
  </si>
  <si>
    <t>3546AU1815NB</t>
  </si>
  <si>
    <t>3534AU1815NB</t>
  </si>
  <si>
    <t>3653AU1815NB</t>
  </si>
  <si>
    <t xml:space="preserve">Star's </t>
  </si>
  <si>
    <t>3544AU1815NB</t>
  </si>
  <si>
    <t>3649AU1815NB</t>
  </si>
  <si>
    <t>3518AU1815NB</t>
  </si>
  <si>
    <t>3611AU1815NB</t>
  </si>
  <si>
    <t>3549AU1815NB</t>
  </si>
  <si>
    <t>Green Valley Grill</t>
  </si>
  <si>
    <t>3547AU1815NB</t>
  </si>
  <si>
    <t>3542AU1815NB</t>
  </si>
  <si>
    <t xml:space="preserve">Steak 44 </t>
  </si>
  <si>
    <t>3638AU1815NB</t>
  </si>
  <si>
    <t>Liberty Kitchen</t>
  </si>
  <si>
    <t>Mancy's Italian Grill</t>
  </si>
  <si>
    <t>3596AU1815NB</t>
  </si>
  <si>
    <t>Saltgrass Steak House</t>
  </si>
  <si>
    <t>3628AU1815NB</t>
  </si>
  <si>
    <t>3616AU1815NB</t>
  </si>
  <si>
    <t xml:space="preserve">McCormick &amp; Schmick's </t>
  </si>
  <si>
    <t>3612AU1815NB</t>
  </si>
  <si>
    <t>3645AU1815NB</t>
  </si>
  <si>
    <t>3575AU1815NB</t>
  </si>
  <si>
    <t>Arthur's</t>
  </si>
  <si>
    <t>3581AU1815NB</t>
  </si>
  <si>
    <t>3554AU1815NB</t>
  </si>
  <si>
    <t>3567AU1815NB</t>
  </si>
  <si>
    <t>Wildfire   Food &amp; Beverage Final Receipt</t>
  </si>
  <si>
    <t>3589AU1815NB</t>
  </si>
  <si>
    <t>Kirby's Prime</t>
  </si>
  <si>
    <t>3624AU1815NB</t>
  </si>
  <si>
    <t>3557AU1815NB</t>
  </si>
  <si>
    <t>Pace's</t>
  </si>
  <si>
    <t>3600AU1815NB</t>
  </si>
  <si>
    <t>3515AU1815NB</t>
  </si>
  <si>
    <t xml:space="preserve">III Forks </t>
  </si>
  <si>
    <t>3629AU1815NB</t>
  </si>
  <si>
    <t>3631AU1815NB</t>
  </si>
  <si>
    <t>3637AU1815NB</t>
  </si>
  <si>
    <t>3551AU1815NB</t>
  </si>
  <si>
    <t>3597AU1815NB</t>
  </si>
  <si>
    <t>Ruth's Chris   Food &amp; Beverage Final Receipt</t>
  </si>
  <si>
    <t>3506AU1815NB</t>
  </si>
  <si>
    <t>The Grand Marlin</t>
  </si>
  <si>
    <t>3559AU1815NB</t>
  </si>
  <si>
    <t xml:space="preserve">Mitchell's Fish Market </t>
  </si>
  <si>
    <t>3563AU1815NB</t>
  </si>
  <si>
    <t>3640AU1815NB</t>
  </si>
  <si>
    <t>JR's Steak and Grill   Food &amp; Beverage Final Receipt</t>
  </si>
  <si>
    <t>3630AU1815NB</t>
  </si>
  <si>
    <t>3533AU1815NB</t>
  </si>
  <si>
    <t>3560AU1815NB</t>
  </si>
  <si>
    <t xml:space="preserve">Ruth's Chris </t>
  </si>
  <si>
    <t>3579AU1815NB</t>
  </si>
  <si>
    <t xml:space="preserve">Flemings  </t>
  </si>
  <si>
    <t>3609AU1815NB</t>
  </si>
  <si>
    <t>Atlanta Fish Market</t>
  </si>
  <si>
    <t>3555AU1815NB</t>
  </si>
  <si>
    <t>Central Restaurant   A/V at a restaurant</t>
  </si>
  <si>
    <t>3552AU1815NB</t>
  </si>
  <si>
    <t xml:space="preserve">True Food Kitchen </t>
  </si>
  <si>
    <t xml:space="preserve"> Red Hot &amp; Blue</t>
  </si>
  <si>
    <t xml:space="preserve">Hyde Park Prime Steakhouse </t>
  </si>
  <si>
    <t xml:space="preserve">Shula's </t>
  </si>
  <si>
    <t>3529AU1815NB</t>
  </si>
  <si>
    <t>NEED RECEIPT: Mise en Place IN HOUSE</t>
  </si>
  <si>
    <t>NEED RECEIPT: Rick Erwin's Nantucket Seafood</t>
  </si>
  <si>
    <t>Tre Monti</t>
  </si>
  <si>
    <t>Sullivan's</t>
  </si>
  <si>
    <t>Bone Fish Grill</t>
  </si>
  <si>
    <t>Hilltop House</t>
  </si>
  <si>
    <t>PF Changs</t>
  </si>
  <si>
    <t>555 East</t>
  </si>
  <si>
    <t>Sammy's Grill</t>
  </si>
  <si>
    <t>Fleming's Prime Steakhouse</t>
  </si>
  <si>
    <t xml:space="preserve">Cover 3 </t>
  </si>
  <si>
    <t>Andrew's 228</t>
  </si>
  <si>
    <t>The Grill on the Alley</t>
  </si>
  <si>
    <t>Flemings   Food &amp; Beverage Final Receipt</t>
  </si>
  <si>
    <t>Kreis   Unmet Food and Beverage</t>
  </si>
  <si>
    <t xml:space="preserve">Eat Out In </t>
  </si>
  <si>
    <t>Hyde Park</t>
  </si>
  <si>
    <t>JW Steakhouse</t>
  </si>
  <si>
    <t xml:space="preserve"> Boca </t>
  </si>
  <si>
    <t xml:space="preserve"> Wildfire </t>
  </si>
  <si>
    <t>The Place Catering Refund</t>
  </si>
  <si>
    <t>NEED RECEIPT: TBD</t>
  </si>
  <si>
    <t>3998SE0915</t>
  </si>
  <si>
    <t>Sammy's Grill   Food &amp; Beverage Final Receipt</t>
  </si>
  <si>
    <t>LJ; 8/12/15; Submitted</t>
  </si>
  <si>
    <t>Tafazoli Inc.</t>
  </si>
  <si>
    <t>Derek A. Ott, MD</t>
  </si>
  <si>
    <t>FedEx: 6121 0143 4877</t>
  </si>
  <si>
    <t>Gregg Friedman MD</t>
  </si>
  <si>
    <t>LJ; 8/17/15; Submitted</t>
  </si>
  <si>
    <t>8-14-15 MB - submitted</t>
  </si>
  <si>
    <t>Red Oak Psychiatry Assoc. PA</t>
  </si>
  <si>
    <t>Laurie Karpf MD PA</t>
  </si>
  <si>
    <t>Theresa Cerulli Banks</t>
  </si>
  <si>
    <t>Peachtree Behavioral Health</t>
  </si>
  <si>
    <t>FedEx: 6121 0143 2495</t>
  </si>
  <si>
    <t>Birgit Amann MD PLLC</t>
  </si>
  <si>
    <t>Joseph Berger</t>
  </si>
  <si>
    <t>George M Bright MD</t>
  </si>
  <si>
    <t>Sharen E Cooper</t>
  </si>
  <si>
    <t>Andrew J Cutler MD, PA</t>
  </si>
  <si>
    <t>Patel Psychiatry Consultant PA</t>
  </si>
  <si>
    <t>Lance D Clawson MD</t>
  </si>
  <si>
    <t>FedEx: 6121 0143 4888</t>
  </si>
  <si>
    <t>Ray Horwitz</t>
  </si>
  <si>
    <t>Ulla Laakso, MD</t>
  </si>
  <si>
    <t>Gilbert Custer</t>
  </si>
  <si>
    <t>FedEx: 6121 0143 1970</t>
  </si>
  <si>
    <t>FedEx: 6121 0143 2017</t>
  </si>
  <si>
    <t>FedEx: 6121 0143 2451</t>
  </si>
  <si>
    <t>FedEx: 6121 0143 2500</t>
  </si>
  <si>
    <t>FedEx: 6121 0143 2462</t>
  </si>
  <si>
    <t>FedEx: 6121 0143 2484</t>
  </si>
  <si>
    <t>FedEx: 6121 0143 3322</t>
  </si>
  <si>
    <t>FedEx: 6121 0143 3311</t>
  </si>
  <si>
    <t>FedEx: 6121 0143 3745</t>
  </si>
  <si>
    <t>FedEx: 6121 0143 7740</t>
  </si>
  <si>
    <t>FedEx: 6121 0143 7720</t>
  </si>
  <si>
    <t>FedEx: 6121 0143 7730</t>
  </si>
  <si>
    <t>FedEx: 6121 0143 7199</t>
  </si>
  <si>
    <t>3515SE3015X</t>
  </si>
  <si>
    <t>FedEx: 6121 0143 4682</t>
  </si>
  <si>
    <t>3597SE1015X</t>
  </si>
  <si>
    <t xml:space="preserve"> McCormick &amp; Schmick's </t>
  </si>
  <si>
    <t>3536AU1815NBX</t>
  </si>
  <si>
    <t>ARBEVE15</t>
  </si>
  <si>
    <t>3501AU1815NB-Food &amp; Beverage</t>
  </si>
  <si>
    <t>3506AU1815NB-Food &amp; Beverage</t>
  </si>
  <si>
    <t>3511AU1815NB-Food &amp; Beverage</t>
  </si>
  <si>
    <t>3515AU1815NB-Food &amp; Beverage</t>
  </si>
  <si>
    <t>3515SE0915-Speaker Expenses*</t>
  </si>
  <si>
    <t>3515SE0915-Honorarium</t>
  </si>
  <si>
    <t>3515SE0915-Food &amp; Beverage</t>
  </si>
  <si>
    <t>3515SE3015X-Honorarium</t>
  </si>
  <si>
    <t>3518AU1815NB-Food &amp; Beverage</t>
  </si>
  <si>
    <t>3527AU1815NB-Food &amp; Beverage</t>
  </si>
  <si>
    <t>3529AU1815NB-Food &amp; Beverage</t>
  </si>
  <si>
    <t>3533AU1815NB-Food &amp; Beverage</t>
  </si>
  <si>
    <t>3534AU0415-Speaker Expenses*</t>
  </si>
  <si>
    <t>3534AU0415-Honorarium</t>
  </si>
  <si>
    <t>3534AU0415-Food &amp; Beverage</t>
  </si>
  <si>
    <t>3534AU1815NB-Food &amp; Beverage</t>
  </si>
  <si>
    <t>3536AU1815NBX-Food &amp; Beverage</t>
  </si>
  <si>
    <t>3542AU0515-Honorarium</t>
  </si>
  <si>
    <t>3542AU0515-Food &amp; Beverage</t>
  </si>
  <si>
    <t>3542AU1315-Food &amp; Beverage</t>
  </si>
  <si>
    <t>3542AU1315-Honorarium</t>
  </si>
  <si>
    <t>3542AU1815NB-Food &amp; Beverage</t>
  </si>
  <si>
    <t>3542SE2415-Speaker Expenses*</t>
  </si>
  <si>
    <t>3542SE2415-Honorarium</t>
  </si>
  <si>
    <t>3542SE2415-Food &amp; Beverage</t>
  </si>
  <si>
    <t>3543AU1815NB-Food &amp; Beverage</t>
  </si>
  <si>
    <t>3543SE2215-Honorarium</t>
  </si>
  <si>
    <t>3543SE2215-Food &amp; Beverage</t>
  </si>
  <si>
    <t>3543SE2215-Speaker Expenses*</t>
  </si>
  <si>
    <t>3544AU1815NB-Food &amp; Beverage</t>
  </si>
  <si>
    <t>3546AU1815NB-Food &amp; Beverage</t>
  </si>
  <si>
    <t>3546SE2915-Honorarium</t>
  </si>
  <si>
    <t>3546SE2915-Food &amp; Beverage</t>
  </si>
  <si>
    <t>3546SE2915-Air</t>
  </si>
  <si>
    <t>3546SE2915-Hotel</t>
  </si>
  <si>
    <t>Doubletree   Hotel Accommodations</t>
  </si>
  <si>
    <t>3546SE2915-Speaker Expenses*</t>
  </si>
  <si>
    <t>McLaurin Travel Services   Air Transportation - 5250969 - Young</t>
  </si>
  <si>
    <t>3547AU1815NB-Food &amp; Beverage</t>
  </si>
  <si>
    <t>3547SE1515-Speaker Expenses*</t>
  </si>
  <si>
    <t>3547SE1515-Hotel</t>
  </si>
  <si>
    <t>3547SE1515-Air</t>
  </si>
  <si>
    <t>McLaurin Travel Services   Air Transportation - 5250915 - Young</t>
  </si>
  <si>
    <t>3547SE1515-Honorarium</t>
  </si>
  <si>
    <t>3547SE1515-Food &amp; Beverage</t>
  </si>
  <si>
    <t>3547SE1615-Honorarium</t>
  </si>
  <si>
    <t>3547SE1615-Food &amp; Beverage</t>
  </si>
  <si>
    <t>3547SE1615-Air</t>
  </si>
  <si>
    <t>3547SE1615-Speaker Expenses*</t>
  </si>
  <si>
    <t>3547SE1615-Hotel</t>
  </si>
  <si>
    <t>3548SE3015A-Honorarium</t>
  </si>
  <si>
    <t>3548SE3015A-Hotel</t>
  </si>
  <si>
    <t>3548SE3015A-Air</t>
  </si>
  <si>
    <t>3548SE3015A-Speaker Expenses*</t>
  </si>
  <si>
    <t>NEED RECEIPT: McLaurin</t>
  </si>
  <si>
    <t>3548SE3015B-Honorarium</t>
  </si>
  <si>
    <t>3548SE3015B-Hotel</t>
  </si>
  <si>
    <t>3548SE3015B-Speaker Expenses*</t>
  </si>
  <si>
    <t>3548SE3015B-Air</t>
  </si>
  <si>
    <t>3548SE3015B-Food &amp; Beverage</t>
  </si>
  <si>
    <t>3549AU1815NB-Food &amp; Beverage</t>
  </si>
  <si>
    <t>3549SE2415A-Honorarium</t>
  </si>
  <si>
    <t>3549SE2415A-Food &amp; Beverage</t>
  </si>
  <si>
    <t>3549SE2415A-Air</t>
  </si>
  <si>
    <t>3549SE2415A-Speaker Expenses*</t>
  </si>
  <si>
    <t>3549SE2415B-Speaker Expenses*</t>
  </si>
  <si>
    <t>3549SE2415B-Air</t>
  </si>
  <si>
    <t>3549SE2415B-Hotel</t>
  </si>
  <si>
    <t>3549SE2415B-Honorarium</t>
  </si>
  <si>
    <t>3549SE2415B-Food &amp; Beverage</t>
  </si>
  <si>
    <t>3549SE2415B-Ground</t>
  </si>
  <si>
    <t>3551AU1815NB-Food &amp; Beverage</t>
  </si>
  <si>
    <t>3552AU1815NB-Food &amp; Beverage</t>
  </si>
  <si>
    <t>3554AU0415-Honorarium</t>
  </si>
  <si>
    <t>3554AU0415-Food &amp; Beverage</t>
  </si>
  <si>
    <t>3554AU0415-Air</t>
  </si>
  <si>
    <t>3554AU0415-Speaker Expenses*</t>
  </si>
  <si>
    <t>3554AU1815NB-Food &amp; Beverage</t>
  </si>
  <si>
    <t>3555AU1815NB-Food &amp; Beverage</t>
  </si>
  <si>
    <t>3557AU1815NB-Food &amp; Beverage</t>
  </si>
  <si>
    <t>3559AU1815NB-Food &amp; Beverage</t>
  </si>
  <si>
    <t>3560AU1815NB-Food &amp; Beverage</t>
  </si>
  <si>
    <t>3562SE2915-Air</t>
  </si>
  <si>
    <t>3562SE2915-Speaker Expenses*</t>
  </si>
  <si>
    <t>10-13-15 MB - pending speaker clarification</t>
  </si>
  <si>
    <t>3562SE2915-Honorarium</t>
  </si>
  <si>
    <t>3562SE2915-Food &amp; Beverage</t>
  </si>
  <si>
    <t>3562SE2915-Hotel</t>
  </si>
  <si>
    <t>Residence Inn</t>
  </si>
  <si>
    <t>3563AU1815NB-Food &amp; Beverage</t>
  </si>
  <si>
    <t>3565AU0615-Honorarium</t>
  </si>
  <si>
    <t>3565AU0615-Food &amp; Beverage</t>
  </si>
  <si>
    <t>3565AU0615-Speaker Expenses*</t>
  </si>
  <si>
    <t>3565AU1815NB-Food &amp; Beverage</t>
  </si>
  <si>
    <t>3566AU0415-Honorarium</t>
  </si>
  <si>
    <t>Replacement ck issued</t>
  </si>
  <si>
    <t>3566AU0415-Food &amp; Beverage</t>
  </si>
  <si>
    <t>3566AU1815NB-Food &amp; Beverage</t>
  </si>
  <si>
    <t>3567AU0315-Speaker Expenses*</t>
  </si>
  <si>
    <t>3567AU0315-Honorarium</t>
  </si>
  <si>
    <t>3567AU0315-Food &amp; Beverage</t>
  </si>
  <si>
    <t>3567AU1115-Food &amp; Beverage</t>
  </si>
  <si>
    <t>3567AU1115-Honorarium</t>
  </si>
  <si>
    <t>3567AU1115-Speaker Expenses*</t>
  </si>
  <si>
    <t>3567AU1815NB-Food &amp; Beverage</t>
  </si>
  <si>
    <t>3567SE1115-Honorarium</t>
  </si>
  <si>
    <t>3567SE1115-Food &amp; Beverage</t>
  </si>
  <si>
    <t>3567SE1115-Speaker Expenses*</t>
  </si>
  <si>
    <t>3567SE2415-Honorarium</t>
  </si>
  <si>
    <t>3567SE2415-Food &amp; Beverage</t>
  </si>
  <si>
    <t>3567SE2415-Speaker Expenses*</t>
  </si>
  <si>
    <t>9-25 MB - pending SS approval</t>
  </si>
  <si>
    <t>3569AU1815NB-Food &amp; Beverage</t>
  </si>
  <si>
    <t>3570AU1815NB-Food &amp; Beverage</t>
  </si>
  <si>
    <t>3570SE1515-Speaker Expenses*</t>
  </si>
  <si>
    <t>3570SE1515-Honorarium</t>
  </si>
  <si>
    <t>3570SE1515-Food &amp; Beverage</t>
  </si>
  <si>
    <t>3573AU1815NB-Food &amp; Beverage</t>
  </si>
  <si>
    <t>3573SE3015-Speaker Expenses*</t>
  </si>
  <si>
    <t>3573SE3015-Honorarium</t>
  </si>
  <si>
    <t>3573SE3015-Food &amp; Beverage</t>
  </si>
  <si>
    <t>3575AU1815NB-Food &amp; Beverage</t>
  </si>
  <si>
    <t>3576AU1815NB-Food &amp; Beverage</t>
  </si>
  <si>
    <t>3578AU1815NB-Food &amp; Beverage</t>
  </si>
  <si>
    <t>3579AU1815NB-Food &amp; Beverage</t>
  </si>
  <si>
    <t>3579SE2915-Honorarium</t>
  </si>
  <si>
    <t>3579SE2915-Food &amp; Beverage</t>
  </si>
  <si>
    <t>3579SE2915-Speaker Expenses*</t>
  </si>
  <si>
    <t>3580AU0415-Food &amp; Beverage</t>
  </si>
  <si>
    <t>3580AU0415-Speaker Expenses*</t>
  </si>
  <si>
    <t>3580AU0415-Honorarium</t>
  </si>
  <si>
    <t>3580AU1815NB-Food &amp; Beverage</t>
  </si>
  <si>
    <t>3581AU1815NB-Food &amp; Beverage</t>
  </si>
  <si>
    <t>3585AU1815NB-Food &amp; Beverage</t>
  </si>
  <si>
    <t>3585SE1615-Food &amp; Beverage</t>
  </si>
  <si>
    <t>3585SE1615-Honorarium</t>
  </si>
  <si>
    <t>3585SE1615-Speaker Expenses*</t>
  </si>
  <si>
    <t>3587AU1815NB-Food &amp; Beverage</t>
  </si>
  <si>
    <t>3589AU0615A-Honorarium</t>
  </si>
  <si>
    <t>3589AU0615A-Food &amp; Beverage</t>
  </si>
  <si>
    <t>3589AU0615B-Food &amp; Beverage</t>
  </si>
  <si>
    <t>3589AU0615B-Air</t>
  </si>
  <si>
    <t>3589AU0615B-Honorarium</t>
  </si>
  <si>
    <t>3589AU1815NB-Food &amp; Beverage</t>
  </si>
  <si>
    <t>3590SE3015-Honorarium</t>
  </si>
  <si>
    <t>3590SE3015-Food &amp; Beverage</t>
  </si>
  <si>
    <t>3590SE3015-Speaker Expenses*</t>
  </si>
  <si>
    <t>3593AU1815NB-Food &amp; Beverage</t>
  </si>
  <si>
    <t>3596AU1815NB-Food &amp; Beverage</t>
  </si>
  <si>
    <t>3597AU0315-Honorarium</t>
  </si>
  <si>
    <t>3597AU0315-Food &amp; Beverage</t>
  </si>
  <si>
    <t>3597AU0315-Speaker Expenses*</t>
  </si>
  <si>
    <t>3597AU1315-Food &amp; Beverage</t>
  </si>
  <si>
    <t>3597AU1315-Honorarium</t>
  </si>
  <si>
    <t>3597AU1815NB-Food &amp; Beverage</t>
  </si>
  <si>
    <t>3597AU1915-Honorarium</t>
  </si>
  <si>
    <t>3597AU1915-Food &amp; Beverage</t>
  </si>
  <si>
    <t>3597AU1915-Speaker Expenses*</t>
  </si>
  <si>
    <t>3597SE0915-Speaker Expenses*</t>
  </si>
  <si>
    <t>3597SE0915-Food &amp; Beverage</t>
  </si>
  <si>
    <t>3597SE0915-Honorarium</t>
  </si>
  <si>
    <t>3597SE1015X-Honorarium</t>
  </si>
  <si>
    <t>3597SE3015-Speaker Expenses*</t>
  </si>
  <si>
    <t>3597SE3015-Food &amp; Beverage</t>
  </si>
  <si>
    <t>3597SE3015-Honorarium</t>
  </si>
  <si>
    <t>3600AU1815NB-Food &amp; Beverage</t>
  </si>
  <si>
    <t>3605AU1115-Honorarium</t>
  </si>
  <si>
    <t>3605AU1115-Air</t>
  </si>
  <si>
    <t>3605AU1115-Hotel</t>
  </si>
  <si>
    <t>3605AU1115-Food &amp; Beverage</t>
  </si>
  <si>
    <t>3609AU1815NB-Food &amp; Beverage</t>
  </si>
  <si>
    <t>3611AU1815NB-Food &amp; Beverage</t>
  </si>
  <si>
    <t>3612AU1815NB-Food &amp; Beverage</t>
  </si>
  <si>
    <t>3616AU1815NB-Food &amp; Beverage</t>
  </si>
  <si>
    <t>3617AU1815NB-Food &amp; Beverage</t>
  </si>
  <si>
    <t>3617SE2315A-Honorarium</t>
  </si>
  <si>
    <t>3617SE2315A-Food &amp; Beverage</t>
  </si>
  <si>
    <t>3617SE2315A-Speaker Expenses*</t>
  </si>
  <si>
    <t>3617SE2315B-Air</t>
  </si>
  <si>
    <t>McLaurin (split with 3620SE2215A)</t>
  </si>
  <si>
    <t>3617SE2315B-Speaker Expenses*</t>
  </si>
  <si>
    <t>McLaurin Fee (split with 3620SE215A)</t>
  </si>
  <si>
    <t>3617SE2315B-Honorarium</t>
  </si>
  <si>
    <t>3617SE2315B-Food &amp; Beverage</t>
  </si>
  <si>
    <t>3617SE2315B-Hotel</t>
  </si>
  <si>
    <t>Hampton Inn - Baton Rouge</t>
  </si>
  <si>
    <t>3619AU1815NB-Food &amp; Beverage</t>
  </si>
  <si>
    <t>3620AU1815NB-Food &amp; Beverage</t>
  </si>
  <si>
    <t>3620SE2215A-Honorarium</t>
  </si>
  <si>
    <t>3620SE2215A-Food &amp; Beverage</t>
  </si>
  <si>
    <t>3620SE2215A-Air</t>
  </si>
  <si>
    <t>3620SE2215A-Speaker Expenses*</t>
  </si>
  <si>
    <t>3620SE2215B-Food &amp; Beverage</t>
  </si>
  <si>
    <t>3620SE2215B-Hotel</t>
  </si>
  <si>
    <t>3620SE2215B-Speaker Expenses*</t>
  </si>
  <si>
    <t>3620SE2215B-Honorarium</t>
  </si>
  <si>
    <t>3622AU1815NB-Food &amp; Beverage</t>
  </si>
  <si>
    <t>3624AU0415-Speaker Expenses*</t>
  </si>
  <si>
    <t>3624AU0415-Food &amp; Beverage</t>
  </si>
  <si>
    <t>3624AU0415-Honorarium</t>
  </si>
  <si>
    <t>3624AU1315-Food &amp; Beverage</t>
  </si>
  <si>
    <t>3624AU1315-Speaker Expenses*</t>
  </si>
  <si>
    <t>3624AU1315-Honorarium</t>
  </si>
  <si>
    <t>3624AU1815NB-Food &amp; Beverage</t>
  </si>
  <si>
    <t>3627AU1815NB-Food &amp; Beverage</t>
  </si>
  <si>
    <t>3628AU1815NB-Food &amp; Beverage</t>
  </si>
  <si>
    <t>3629AU0415-Food &amp; Beverage</t>
  </si>
  <si>
    <t>3629AU0415-Honorarium</t>
  </si>
  <si>
    <t>3629AU1115-Food &amp; Beverage</t>
  </si>
  <si>
    <t>3629AU1115-Honorarium</t>
  </si>
  <si>
    <t>3629AU1815NB-Food &amp; Beverage</t>
  </si>
  <si>
    <t>3630AU1815NB-Food &amp; Beverage</t>
  </si>
  <si>
    <t>3630SE0315-Speaker Expenses*</t>
  </si>
  <si>
    <t>3630SE0315-Honorarium</t>
  </si>
  <si>
    <t>3630SE0315-Food &amp; Beverage</t>
  </si>
  <si>
    <t>3630SE1615-Honorarium</t>
  </si>
  <si>
    <t>3630SE1615-Food &amp; Beverage</t>
  </si>
  <si>
    <t>3630SE1615-Speaker Expenses*</t>
  </si>
  <si>
    <t>3631AU1815NB-Food &amp; Beverage</t>
  </si>
  <si>
    <t>3633AU0415-Honorarium</t>
  </si>
  <si>
    <t>3633AU0415-Food &amp; Beverage</t>
  </si>
  <si>
    <t>3633AU0415-Speaker Expenses*</t>
  </si>
  <si>
    <t>3633AU1215-Food &amp; Beverage</t>
  </si>
  <si>
    <t>3633AU1215-Honorarium</t>
  </si>
  <si>
    <t>3633AU1315-Honorarium</t>
  </si>
  <si>
    <t>3633AU1315-Food &amp; Beverage</t>
  </si>
  <si>
    <t>3633AU1315-Speaker Expenses*</t>
  </si>
  <si>
    <t>3633AU1715-Honorarium</t>
  </si>
  <si>
    <t>3633AU1715-Food &amp; Beverage</t>
  </si>
  <si>
    <t>3633AU1815NB-Food &amp; Beverage</t>
  </si>
  <si>
    <t>3633AU3115-Food &amp; Beverage</t>
  </si>
  <si>
    <t>3633AU3115-Honorarium</t>
  </si>
  <si>
    <t>3633SE1715-Speaker Expenses*</t>
  </si>
  <si>
    <t>3633SE1715-Food &amp; Beverage</t>
  </si>
  <si>
    <t>3633SE1715-Honorarium</t>
  </si>
  <si>
    <t>3633SE2315-Speaker Expenses*</t>
  </si>
  <si>
    <t>3633SE2315-Honorarium</t>
  </si>
  <si>
    <t>3633SE2315-Food &amp; Beverage</t>
  </si>
  <si>
    <t>3634AU1815NB-Food &amp; Beverage</t>
  </si>
  <si>
    <t>3637AU1815NB-Food &amp; Beverage</t>
  </si>
  <si>
    <t>3637SE1015-Speaker Expenses*</t>
  </si>
  <si>
    <t>3637SE1015-Honorarium</t>
  </si>
  <si>
    <t>3637SE1015-Food &amp; Beverage</t>
  </si>
  <si>
    <t>3637SE1715-Honorarium</t>
  </si>
  <si>
    <t>3637SE1715-Food &amp; Beverage</t>
  </si>
  <si>
    <t>3637SE1715-Speaker Expenses*</t>
  </si>
  <si>
    <t>3638AU1815NB-Food &amp; Beverage</t>
  </si>
  <si>
    <t>3638SE2415-Honorarium</t>
  </si>
  <si>
    <t>3638SE2415-Food &amp; Beverage</t>
  </si>
  <si>
    <t>3638SE2415-Speaker Expenses*</t>
  </si>
  <si>
    <t>3640AU1815NB-Food &amp; Beverage</t>
  </si>
  <si>
    <t>3640SE1015-Food &amp; Beverage</t>
  </si>
  <si>
    <t>3640SE1015-Honorarium</t>
  </si>
  <si>
    <t>3640SE1015-Speaker Expenses*</t>
  </si>
  <si>
    <t>3641AU1815NB-Food &amp; Beverage</t>
  </si>
  <si>
    <t>3641SE0115-Food &amp; Beverage</t>
  </si>
  <si>
    <t>3641SE0115-Honorarium</t>
  </si>
  <si>
    <t>3643SE2215-Speaker Expenses*</t>
  </si>
  <si>
    <t>3643SE2215-Honorarium</t>
  </si>
  <si>
    <t>3643SE2215-Food &amp; Beverage</t>
  </si>
  <si>
    <t>3645AU0415-Honorarium</t>
  </si>
  <si>
    <t>3645AU0415-Food &amp; Beverage</t>
  </si>
  <si>
    <t>3645AU0415-Speaker Expenses*</t>
  </si>
  <si>
    <t>3645AU1815NB-Food &amp; Beverage</t>
  </si>
  <si>
    <t>3646AU1815NB-Food &amp; Beverage</t>
  </si>
  <si>
    <t>3646SE2415-Honorarium</t>
  </si>
  <si>
    <t>3646SE2415-Speaker Expenses*</t>
  </si>
  <si>
    <t>3646SE2415-Food &amp; Beverage</t>
  </si>
  <si>
    <t>3649AU1815NB-Food &amp; Beverage</t>
  </si>
  <si>
    <t>3653AU0315-Food &amp; Beverage</t>
  </si>
  <si>
    <t>3653AU0315-Honorarium</t>
  </si>
  <si>
    <t>3653AU1815NB-Food &amp; Beverage</t>
  </si>
  <si>
    <t>ARBVIR15</t>
  </si>
  <si>
    <t>3996SE2915-Honorarium</t>
  </si>
  <si>
    <t>3998SE0915-Speaker Expenses*</t>
  </si>
  <si>
    <t>3998SE0915-Hotel</t>
  </si>
  <si>
    <t>3998SE0915-Air</t>
  </si>
  <si>
    <t>NEED RECEIPT: McLaurin Fee</t>
  </si>
  <si>
    <t>3998SE0915-Honorarium</t>
  </si>
  <si>
    <t>3998SE0915-Food &amp; Beverage</t>
  </si>
  <si>
    <t>3999AU1815NB-Air</t>
  </si>
  <si>
    <t>McLaurin Travel Services   Air Transportation - 5243829 - Blanton</t>
  </si>
  <si>
    <t>McLaurin Travel Services   Air Transportation - 5243830 - Williams</t>
  </si>
  <si>
    <t>3999AU1815NB-Honorarium</t>
  </si>
  <si>
    <t>3999AU1815NB-Speaker Expenses*</t>
  </si>
  <si>
    <t>3999AU1815NB-Hotel</t>
  </si>
  <si>
    <t>3999JL3115-Speaker Expenses*</t>
  </si>
  <si>
    <t>3999JL3115-Air</t>
  </si>
  <si>
    <t>McLaurin Travel Services   Air Transportation -  Three After Hour Calls</t>
  </si>
  <si>
    <t>3999JL3115-Honorarium</t>
  </si>
  <si>
    <t>McLaurin Travel Services   Air Transportation - 5242802 - Friedman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</si>
</sst>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Arial"/>
      <family val="2"/>
    </font>
    <font>
      <sz val="11"/>
      <color rgb="FF11111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auto="1"/>
      </top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7">
    <xf numFmtId="0" fontId="0" fillId="0" borderId="0"/>
    <xf numFmtId="0" fontId="10" fillId="0" borderId="0" applyNumberFormat="0" applyFont="0" applyFill="0" applyBorder="0" applyAlignment="0" applyProtection="0"/>
    <xf numFmtId="0" fontId="10" fillId="0" borderId="0" applyNumberFormat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</cellStyleXfs>
  <cellXfs count="44">
    <xf numFmtId="0" fontId="0" fillId="0" borderId="0" xfId="0" applyProtection="1">
      <protection locked="0"/>
    </xf>
    <xf numFmtId="0" fontId="5" fillId="0" borderId="0" xfId="0" applyFont="1" applyFill="1" applyProtection="1">
      <protection locked="0"/>
    </xf>
    <xf numFmtId="0" fontId="6" fillId="0" borderId="0" xfId="0" applyFont="1" applyFill="1" applyProtection="1"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4" fontId="5" fillId="0" borderId="0" xfId="0" applyNumberFormat="1" applyFont="1" applyBorder="1" applyProtection="1">
      <protection locked="0"/>
    </xf>
    <xf numFmtId="49" fontId="5" fillId="0" borderId="1" xfId="0" applyNumberFormat="1" applyFont="1" applyBorder="1" applyProtection="1">
      <protection locked="0"/>
    </xf>
    <xf numFmtId="49" fontId="5" fillId="0" borderId="0" xfId="0" applyNumberFormat="1" applyFont="1" applyFill="1" applyBorder="1" applyProtection="1">
      <protection locked="0"/>
    </xf>
    <xf numFmtId="4" fontId="5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49" fontId="8" fillId="2" borderId="2" xfId="0" applyNumberFormat="1" applyFont="1" applyFill="1" applyBorder="1" applyAlignment="1" applyProtection="1">
      <alignment horizontal="left" vertical="center"/>
      <protection locked="0"/>
    </xf>
    <xf numFmtId="4" fontId="8" fillId="2" borderId="3" xfId="0" applyNumberFormat="1" applyFont="1" applyFill="1" applyBorder="1" applyAlignment="1" applyProtection="1">
      <alignment horizontal="center" vertical="center"/>
      <protection locked="0"/>
    </xf>
    <xf numFmtId="14" fontId="8" fillId="2" borderId="3" xfId="0" applyNumberFormat="1" applyFont="1" applyFill="1" applyBorder="1" applyAlignment="1" applyProtection="1">
      <alignment horizontal="center" vertical="center"/>
      <protection locked="0"/>
    </xf>
    <xf numFmtId="4" fontId="8" fillId="2" borderId="4" xfId="0" applyNumberFormat="1" applyFont="1" applyFill="1" applyBorder="1" applyAlignment="1" applyProtection="1">
      <alignment horizontal="left" vertical="center"/>
      <protection locked="0"/>
    </xf>
    <xf numFmtId="14" fontId="6" fillId="0" borderId="0" xfId="0" applyNumberFormat="1" applyFont="1" applyFill="1" applyProtection="1">
      <protection locked="0"/>
    </xf>
    <xf numFmtId="14" fontId="5" fillId="0" borderId="0" xfId="0" applyNumberFormat="1" applyFont="1" applyFill="1" applyProtection="1">
      <protection locked="0"/>
    </xf>
    <xf numFmtId="14" fontId="8" fillId="2" borderId="5" xfId="0" applyNumberFormat="1" applyFont="1" applyFill="1" applyBorder="1" applyAlignment="1" applyProtection="1">
      <alignment horizontal="center" vertical="center"/>
      <protection locked="0"/>
    </xf>
    <xf numFmtId="4" fontId="9" fillId="0" borderId="6" xfId="0" applyNumberFormat="1" applyFont="1" applyFill="1" applyBorder="1" applyAlignment="1" applyProtection="1">
      <alignment horizontal="right"/>
      <protection locked="0"/>
    </xf>
    <xf numFmtId="4" fontId="9" fillId="0" borderId="8" xfId="0" applyNumberFormat="1" applyFont="1" applyFill="1" applyBorder="1" applyAlignment="1" applyProtection="1">
      <alignment horizontal="right"/>
      <protection locked="0"/>
    </xf>
    <xf numFmtId="49" fontId="9" fillId="0" borderId="6" xfId="0" applyNumberFormat="1" applyFont="1" applyBorder="1" applyAlignment="1" applyProtection="1">
      <alignment horizontal="left"/>
      <protection locked="0"/>
    </xf>
    <xf numFmtId="39" fontId="8" fillId="2" borderId="4" xfId="0" applyNumberFormat="1" applyFont="1" applyFill="1" applyBorder="1" applyAlignment="1" applyProtection="1">
      <alignment horizontal="left" vertical="center"/>
      <protection locked="0"/>
    </xf>
    <xf numFmtId="39" fontId="8" fillId="2" borderId="4" xfId="0" applyNumberFormat="1" applyFont="1" applyFill="1" applyBorder="1" applyAlignment="1" applyProtection="1">
      <alignment horizontal="center" vertical="center"/>
      <protection locked="0"/>
    </xf>
    <xf numFmtId="39" fontId="5" fillId="0" borderId="0" xfId="0" applyNumberFormat="1" applyFont="1" applyFill="1" applyBorder="1" applyProtection="1">
      <protection locked="0"/>
    </xf>
    <xf numFmtId="39" fontId="9" fillId="0" borderId="6" xfId="0" applyNumberFormat="1" applyFont="1" applyFill="1" applyBorder="1" applyAlignment="1" applyProtection="1">
      <alignment horizontal="right"/>
      <protection locked="0"/>
    </xf>
    <xf numFmtId="39" fontId="9" fillId="0" borderId="8" xfId="0" applyNumberFormat="1" applyFont="1" applyFill="1" applyBorder="1" applyAlignment="1" applyProtection="1">
      <alignment horizontal="right"/>
      <protection locked="0"/>
    </xf>
    <xf numFmtId="4" fontId="5" fillId="0" borderId="9" xfId="0" applyNumberFormat="1" applyFont="1" applyBorder="1" applyProtection="1">
      <protection locked="0"/>
    </xf>
    <xf numFmtId="4" fontId="6" fillId="0" borderId="1" xfId="0" applyNumberFormat="1" applyFont="1" applyFill="1" applyBorder="1" applyProtection="1">
      <protection locked="0"/>
    </xf>
    <xf numFmtId="39" fontId="6" fillId="0" borderId="10" xfId="0" applyNumberFormat="1" applyFont="1" applyFill="1" applyBorder="1" applyProtection="1">
      <protection locked="0"/>
    </xf>
    <xf numFmtId="39" fontId="6" fillId="0" borderId="1" xfId="0" applyNumberFormat="1" applyFont="1" applyFill="1" applyBorder="1" applyProtection="1">
      <protection locked="0"/>
    </xf>
    <xf numFmtId="0" fontId="6" fillId="0" borderId="10" xfId="0" applyFont="1" applyFill="1" applyBorder="1" applyProtection="1">
      <protection locked="0"/>
    </xf>
    <xf numFmtId="0" fontId="5" fillId="3" borderId="0" xfId="0" applyFont="1" applyFill="1" applyProtection="1">
      <protection locked="0"/>
    </xf>
    <xf numFmtId="14" fontId="5" fillId="3" borderId="0" xfId="0" applyNumberFormat="1" applyFont="1" applyFill="1" applyProtection="1">
      <protection locked="0"/>
    </xf>
    <xf numFmtId="4" fontId="9" fillId="0" borderId="7" xfId="0" applyNumberFormat="1" applyFont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14" fontId="12" fillId="0" borderId="0" xfId="0" applyNumberFormat="1" applyFont="1"/>
    <xf numFmtId="14" fontId="13" fillId="0" borderId="0" xfId="0" applyNumberFormat="1" applyFont="1"/>
    <xf numFmtId="49" fontId="5" fillId="0" borderId="11" xfId="0" applyNumberFormat="1" applyFont="1" applyFill="1" applyBorder="1" applyProtection="1">
      <protection locked="0"/>
    </xf>
    <xf numFmtId="4" fontId="5" fillId="0" borderId="11" xfId="0" applyNumberFormat="1" applyFont="1" applyFill="1" applyBorder="1" applyProtection="1">
      <protection locked="0"/>
    </xf>
    <xf numFmtId="39" fontId="5" fillId="0" borderId="11" xfId="0" applyNumberFormat="1" applyFont="1" applyFill="1" applyBorder="1" applyProtection="1">
      <protection locked="0"/>
    </xf>
    <xf numFmtId="0" fontId="5" fillId="0" borderId="12" xfId="0" applyFont="1" applyFill="1" applyBorder="1" applyProtection="1">
      <protection locked="0"/>
    </xf>
  </cellXfs>
  <cellStyles count="7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</cellStyles>
  <dxfs count="3"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28617</xdr:colOff>
      <xdr:row>0</xdr:row>
      <xdr:rowOff>19051</xdr:rowOff>
    </xdr:from>
    <xdr:to>
      <xdr:col>8</xdr:col>
      <xdr:colOff>304841</xdr:colOff>
      <xdr:row>0</xdr:row>
      <xdr:rowOff>295275</xdr:rowOff>
    </xdr:to>
    <xdr:pic macro="[0]!CrossCheck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4398" y="19051"/>
          <a:ext cx="276224" cy="276224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J5"/>
  <sheetViews>
    <sheetView showGridLines="0" tabSelected="1" zoomScale="81" zoomScaleNormal="81" workbookViewId="0">
      <pane ySplit="4" topLeftCell="A5" activePane="bottomLeft" state="frozen"/>
      <selection pane="bottomLeft"/>
    </sheetView>
  </sheetViews>
  <sheetFormatPr defaultRowHeight="12.75" x14ac:dyDescent="0.2"/>
  <cols>
    <col min="1" max="1" width="18.7109375" style="7" customWidth="1"/>
    <col min="2" max="2" width="18.7109375" style="8" customWidth="1"/>
    <col min="3" max="3" width="23.7109375" style="8" customWidth="1"/>
    <col min="4" max="7" width="23.7109375" style="22" customWidth="1"/>
    <col min="8" max="8" width="55.85546875" style="9" bestFit="1" customWidth="1"/>
    <col min="9" max="9" width="5.28515625" style="9" customWidth="1"/>
    <col min="10" max="16384" width="9.140625" style="9"/>
  </cols>
  <sheetData>
    <row r="1" spans="1:10" s="2" customFormat="1" ht="24" customHeight="1" x14ac:dyDescent="0.2">
      <c r="A1" s="10" t="s">
        <v>10</v>
      </c>
      <c r="B1" s="11" t="s">
        <v>38</v>
      </c>
      <c r="C1" s="13" t="s">
        <v>11</v>
      </c>
      <c r="D1" s="12">
        <v>42005</v>
      </c>
      <c r="E1" s="20" t="s">
        <v>12</v>
      </c>
      <c r="F1" s="12">
        <v>42369</v>
      </c>
      <c r="G1" s="21"/>
      <c r="H1" s="16"/>
    </row>
    <row r="2" spans="1:10" s="1" customFormat="1" ht="5.0999999999999996" customHeight="1" x14ac:dyDescent="0.2">
      <c r="A2" s="6"/>
      <c r="B2" s="5"/>
      <c r="C2" s="8"/>
      <c r="D2" s="22"/>
      <c r="E2" s="22"/>
      <c r="F2" s="22"/>
      <c r="G2" s="22"/>
    </row>
    <row r="3" spans="1:10" s="1" customFormat="1" x14ac:dyDescent="0.2">
      <c r="A3" s="19" t="s">
        <v>16</v>
      </c>
      <c r="B3" s="32" t="s">
        <v>17</v>
      </c>
      <c r="C3" s="17" t="s">
        <v>6</v>
      </c>
      <c r="D3" s="24" t="s">
        <v>7</v>
      </c>
      <c r="E3" s="23" t="s">
        <v>19</v>
      </c>
      <c r="F3" s="24" t="s">
        <v>20</v>
      </c>
      <c r="G3" s="23" t="s">
        <v>13</v>
      </c>
      <c r="H3" s="18" t="s">
        <v>9</v>
      </c>
    </row>
    <row r="4" spans="1:10" s="1" customFormat="1" ht="13.5" thickBot="1" x14ac:dyDescent="0.25">
      <c r="A4" s="6"/>
      <c r="B4" s="25"/>
      <c r="C4" s="26">
        <f>SUM(C5:C10000)</f>
        <v>0</v>
      </c>
      <c r="D4" s="27">
        <f>SUM(D5:D10000)</f>
        <v>0</v>
      </c>
      <c r="E4" s="28">
        <f>SUM(E5:E10000)</f>
        <v>0</v>
      </c>
      <c r="F4" s="27">
        <f>SUM(F5:F10000)</f>
        <v>0</v>
      </c>
      <c r="G4" s="28">
        <f>SUM(G5:G10000)</f>
        <v>0</v>
      </c>
      <c r="H4" s="29"/>
    </row>
    <row r="5" spans="1:10" ht="14.25" x14ac:dyDescent="0.2">
      <c r="A5" s="40"/>
      <c r="B5" s="41"/>
      <c r="C5" s="41">
        <f>IF(ISERROR(IF(B5="Food &amp; Beverage",SUMIFS(AggSpendReport!C:C,AggSpendReport!AV:AV,A5,AggSpendReport!AT:AT,B5)/(SUMIFS(AggSpendReport!D:D,AggSpendReport!AV:AV,A5,AggSpendReport!AT:AT,B5)/COUNTIFS(AggSpendReport!AV:AV,A5,AggSpendReport!AT:AT,B5)),SUMIFS(AggSpendReport!C:C,AggSpendReport!AV:AV,A5,AggSpendReport!AT:AT,B5))),0,IF(B5="Food &amp; Beverage",SUMIFS(AggSpendReport!C:C,AggSpendReport!AV:AV,A5,AggSpendReport!AT:AT,B5)/(SUMIFS(AggSpendReport!D:D,AggSpendReport!AV:AV,A5,AggSpendReport!AT:AT,B5)/COUNTIFS(AggSpendReport!AV:AV,A5,AggSpendReport!AT:AT,B5)),SUMIFS(AggSpendReport!C:C,AggSpendReport!AV:AV,A5,AggSpendReport!AT:AT,B5)))</f>
        <v>0</v>
      </c>
      <c r="D5" s="42">
        <f>SUMIFS(Stat!G:G,Stat!B:B,A5,Stat!E:E,B5)</f>
        <v>0</v>
      </c>
      <c r="E5" s="42">
        <f>ABS(C5-D5)</f>
        <v>0</v>
      </c>
      <c r="F5" s="42">
        <f>IF(E5&gt;0.1,ABS(SUMIFS(Stat!G:G,Stat!B:B,CrossCheck!A5,Stat!E:E,CrossCheck!B5,Stat!H:H,0,Stat!E:E,"&lt;&gt;Food &amp; Beverage",Stat!E:E,"&lt;&gt;Food &amp; Beverage: ",Stat!E:E,"&lt;&gt;Accomodations",Stat!E:E,"&lt;&gt;Food &amp; Bev",Stat!E:E,"&lt;&gt;Travel Tips",Stat!E:E,"&lt;&gt;Travel Air",Stat!E:E,"&lt;&gt;Travel Car Rental",Stat!E:E,"&lt;&gt;Travel Car Service",Stat!E:E,"&lt;&gt;Travel Mass Transit",Stat!E:E,"&lt;&gt;Travel Mileage",Stat!E:E,"&lt;&gt;Travel Parking",Stat!E:E,"&lt;&gt;Travel Taxi",Stat!E:E,"&lt;&gt;Travel Tolls")),0)</f>
        <v>0</v>
      </c>
      <c r="G5" s="42">
        <f>IF(ABS(E5-F5)&lt;0.05,0,(ABS(E5-F5)))</f>
        <v>0</v>
      </c>
      <c r="H5" s="43" t="str">
        <f>IF(ISNA(IF(E5&gt;0.1,VLOOKUP(A5&amp;"-"&amp;B5,Stat!F:I,4,FALSE),"")),"*not pulled from stat*",IF(E5&gt;0.1,VLOOKUP(A5&amp;"-"&amp;B5,Stat!F:I,4,FALSE),""))</f>
        <v/>
      </c>
      <c r="J5" s="33"/>
    </row>
  </sheetData>
  <sortState ref="A5:D278">
    <sortCondition ref="A5:A278"/>
    <sortCondition ref="B5:B278"/>
  </sortState>
  <conditionalFormatting sqref="A5:H4727">
    <cfRule type="expression" dxfId="0" priority="153">
      <formula>ABS($E5)&gt;0.1</formula>
    </cfRule>
  </conditionalFormatting>
  <dataValidations count="1">
    <dataValidation type="list" allowBlank="1" showInputMessage="1" showErrorMessage="1" sqref="B1">
      <formula1>"Arbor, Grifols, Impax, Insys, Ipsen, Kaleo, Pernix, UT/Lung"</formula1>
    </dataValidation>
  </dataValidations>
  <printOptions horizontalCentered="1"/>
  <pageMargins left="0.2" right="0.2" top="0.75" bottom="0.75" header="0.3" footer="0.3"/>
  <pageSetup scale="59" fitToHeight="9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L2027"/>
  <sheetViews>
    <sheetView zoomScale="90" workbookViewId="0">
      <pane ySplit="1" topLeftCell="A2" activePane="bottomLeft" state="frozenSplit"/>
      <selection pane="bottomLeft"/>
    </sheetView>
  </sheetViews>
  <sheetFormatPr defaultColWidth="100.7109375" defaultRowHeight="12.75" customHeight="1" x14ac:dyDescent="0.2"/>
  <cols>
    <col min="1" max="1" width="15" style="34" bestFit="1" customWidth="1"/>
    <col min="2" max="2" width="10.42578125" style="34" bestFit="1" customWidth="1"/>
    <col min="3" max="3" width="14.7109375" style="34" bestFit="1" customWidth="1"/>
    <col min="4" max="4" width="15.7109375" style="34" bestFit="1" customWidth="1"/>
    <col min="5" max="5" width="6.85546875" style="34" bestFit="1" customWidth="1"/>
    <col min="6" max="6" width="16" style="34" bestFit="1" customWidth="1"/>
    <col min="7" max="7" width="15.42578125" style="34" bestFit="1" customWidth="1"/>
    <col min="8" max="8" width="17.85546875" style="34" bestFit="1" customWidth="1"/>
    <col min="9" max="9" width="71.7109375" style="34" bestFit="1" customWidth="1"/>
    <col min="10" max="10" width="15.5703125" style="34" bestFit="1" customWidth="1"/>
    <col min="11" max="11" width="12.5703125" style="34" bestFit="1" customWidth="1"/>
    <col min="12" max="12" width="21" style="34" bestFit="1" customWidth="1"/>
    <col min="13" max="13" width="18.5703125" style="34" bestFit="1" customWidth="1"/>
    <col min="14" max="14" width="17" style="34" bestFit="1" customWidth="1"/>
    <col min="15" max="15" width="18.5703125" style="34" bestFit="1" customWidth="1"/>
    <col min="16" max="16" width="18.85546875" style="34" bestFit="1" customWidth="1"/>
    <col min="17" max="17" width="12.140625" style="34" bestFit="1" customWidth="1"/>
    <col min="18" max="18" width="50.42578125" style="34" bestFit="1" customWidth="1"/>
    <col min="19" max="20" width="41.28515625" style="34" bestFit="1" customWidth="1"/>
    <col min="21" max="21" width="11.42578125" style="34" bestFit="1" customWidth="1"/>
    <col min="22" max="22" width="11.28515625" style="34" bestFit="1" customWidth="1"/>
    <col min="23" max="23" width="18.7109375" style="34" bestFit="1" customWidth="1"/>
    <col min="24" max="24" width="59.85546875" style="34" bestFit="1" customWidth="1"/>
    <col min="25" max="25" width="14.28515625" style="34" bestFit="1" customWidth="1"/>
    <col min="26" max="26" width="14.7109375" style="34" bestFit="1" customWidth="1"/>
    <col min="27" max="27" width="18.140625" style="34" bestFit="1" customWidth="1"/>
    <col min="28" max="28" width="16.85546875" style="34" bestFit="1" customWidth="1"/>
    <col min="29" max="29" width="13.5703125" style="34" bestFit="1" customWidth="1"/>
    <col min="30" max="30" width="15.28515625" style="34" bestFit="1" customWidth="1"/>
    <col min="31" max="31" width="14.7109375" style="34" bestFit="1" customWidth="1"/>
    <col min="32" max="32" width="12.7109375" style="34" bestFit="1" customWidth="1"/>
    <col min="33" max="33" width="12" style="34" bestFit="1" customWidth="1"/>
    <col min="34" max="34" width="14.140625" style="34" bestFit="1" customWidth="1"/>
    <col min="35" max="35" width="22" style="34" bestFit="1" customWidth="1"/>
    <col min="36" max="36" width="18.7109375" style="34" bestFit="1" customWidth="1"/>
    <col min="37" max="37" width="17.7109375" style="35" bestFit="1" customWidth="1"/>
    <col min="38" max="38" width="17.42578125" style="34" bestFit="1" customWidth="1"/>
    <col min="39" max="39" width="17.28515625" style="34" bestFit="1" customWidth="1"/>
    <col min="40" max="40" width="12.42578125" style="34" bestFit="1" customWidth="1"/>
    <col min="41" max="41" width="13.28515625" style="34" bestFit="1" customWidth="1"/>
    <col min="42" max="42" width="18.5703125" style="34" bestFit="1" customWidth="1"/>
    <col min="43" max="43" width="19.5703125" style="34" bestFit="1" customWidth="1"/>
    <col min="44" max="44" width="15.85546875" style="34" bestFit="1" customWidth="1"/>
    <col min="45" max="45" width="15.28515625" style="34" bestFit="1" customWidth="1"/>
    <col min="46" max="46" width="15" style="34" bestFit="1" customWidth="1"/>
    <col min="47" max="47" width="16.28515625" style="34" bestFit="1" customWidth="1"/>
    <col min="48" max="48" width="19.28515625" style="34" bestFit="1" customWidth="1"/>
    <col min="49" max="49" width="20.42578125" style="34" bestFit="1" customWidth="1"/>
    <col min="50" max="50" width="8.7109375" style="35" bestFit="1" customWidth="1"/>
    <col min="51" max="51" width="13.28515625" style="35" bestFit="1" customWidth="1"/>
    <col min="52" max="52" width="18.85546875" style="35" bestFit="1" customWidth="1"/>
    <col min="53" max="53" width="21" style="35" bestFit="1" customWidth="1"/>
    <col min="54" max="54" width="53.85546875" style="35" bestFit="1" customWidth="1"/>
    <col min="55" max="55" width="16.28515625" style="35" bestFit="1" customWidth="1"/>
    <col min="56" max="56" width="19.85546875" style="35" bestFit="1" customWidth="1"/>
    <col min="57" max="57" width="8.7109375" style="35" bestFit="1" customWidth="1"/>
    <col min="58" max="58" width="13.42578125" style="35" bestFit="1" customWidth="1"/>
    <col min="59" max="59" width="15.42578125" style="35" bestFit="1" customWidth="1"/>
    <col min="60" max="60" width="14.7109375" style="35" bestFit="1" customWidth="1"/>
    <col min="61" max="61" width="24.140625" style="35" bestFit="1" customWidth="1"/>
    <col min="62" max="62" width="16" style="35" bestFit="1" customWidth="1"/>
    <col min="63" max="63" width="14.85546875" style="35" bestFit="1" customWidth="1"/>
    <col min="64" max="64" width="17.42578125" style="35" bestFit="1" customWidth="1"/>
    <col min="65" max="16384" width="100.7109375" style="34"/>
  </cols>
  <sheetData>
    <row r="1" spans="2:64" s="36" customFormat="1" x14ac:dyDescent="0.2">
      <c r="AK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</row>
    <row r="2" spans="2:64" x14ac:dyDescent="0.2">
      <c r="B2" s="38"/>
      <c r="AY2" s="39"/>
      <c r="AZ2" s="39"/>
      <c r="BA2" s="39"/>
      <c r="BK2" s="39"/>
    </row>
    <row r="3" spans="2:64" x14ac:dyDescent="0.2">
      <c r="B3" s="38"/>
      <c r="AY3" s="39"/>
      <c r="AZ3" s="39"/>
      <c r="BA3" s="39"/>
      <c r="BK3" s="39"/>
    </row>
    <row r="4" spans="2:64" x14ac:dyDescent="0.2">
      <c r="B4" s="38"/>
      <c r="AY4" s="39"/>
      <c r="AZ4" s="39"/>
      <c r="BA4" s="39"/>
      <c r="BK4" s="39"/>
    </row>
    <row r="5" spans="2:64" x14ac:dyDescent="0.2">
      <c r="B5" s="38"/>
      <c r="AY5" s="39"/>
      <c r="AZ5" s="39"/>
      <c r="BA5" s="39"/>
      <c r="BK5" s="39"/>
    </row>
    <row r="6" spans="2:64" x14ac:dyDescent="0.2">
      <c r="B6" s="38"/>
      <c r="AY6" s="39"/>
      <c r="AZ6" s="39"/>
      <c r="BA6" s="39"/>
      <c r="BK6" s="39"/>
    </row>
    <row r="7" spans="2:64" x14ac:dyDescent="0.2">
      <c r="B7" s="38"/>
      <c r="AY7" s="39"/>
      <c r="AZ7" s="39"/>
      <c r="BA7" s="39"/>
      <c r="BK7" s="39"/>
    </row>
    <row r="8" spans="2:64" x14ac:dyDescent="0.2">
      <c r="B8" s="38"/>
      <c r="AY8" s="39"/>
      <c r="AZ8" s="39"/>
      <c r="BA8" s="39"/>
      <c r="BK8" s="39"/>
    </row>
    <row r="9" spans="2:64" x14ac:dyDescent="0.2">
      <c r="B9" s="38"/>
      <c r="AY9" s="39"/>
      <c r="AZ9" s="39"/>
      <c r="BA9" s="39"/>
      <c r="BK9" s="39"/>
    </row>
    <row r="10" spans="2:64" x14ac:dyDescent="0.2">
      <c r="B10" s="38"/>
      <c r="AY10" s="39"/>
      <c r="AZ10" s="39"/>
      <c r="BA10" s="39"/>
      <c r="BK10" s="39"/>
    </row>
    <row r="11" spans="2:64" x14ac:dyDescent="0.2">
      <c r="B11" s="38"/>
      <c r="AY11" s="39"/>
      <c r="AZ11" s="39"/>
      <c r="BA11" s="39"/>
      <c r="BK11" s="39"/>
    </row>
    <row r="12" spans="2:64" x14ac:dyDescent="0.2">
      <c r="B12" s="38"/>
      <c r="AY12" s="39"/>
      <c r="AZ12" s="39"/>
      <c r="BA12" s="39"/>
      <c r="BK12" s="39"/>
    </row>
    <row r="13" spans="2:64" x14ac:dyDescent="0.2">
      <c r="B13" s="38"/>
      <c r="AY13" s="39"/>
      <c r="AZ13" s="39"/>
      <c r="BA13" s="39"/>
      <c r="BK13" s="39"/>
    </row>
    <row r="14" spans="2:64" x14ac:dyDescent="0.2">
      <c r="B14" s="38"/>
      <c r="AY14" s="39"/>
      <c r="AZ14" s="39"/>
      <c r="BA14" s="39"/>
      <c r="BK14" s="39"/>
    </row>
    <row r="15" spans="2:64" x14ac:dyDescent="0.2">
      <c r="B15" s="38"/>
      <c r="AY15" s="39"/>
      <c r="AZ15" s="39"/>
      <c r="BA15" s="39"/>
      <c r="BK15" s="39"/>
    </row>
    <row r="16" spans="2:64" x14ac:dyDescent="0.2">
      <c r="B16" s="38"/>
      <c r="AY16" s="39"/>
      <c r="AZ16" s="39"/>
      <c r="BA16" s="39"/>
      <c r="BK16" s="39"/>
    </row>
    <row r="17" spans="2:63" x14ac:dyDescent="0.2">
      <c r="B17" s="38"/>
      <c r="AY17" s="39"/>
      <c r="AZ17" s="39"/>
      <c r="BA17" s="39"/>
      <c r="BK17" s="39"/>
    </row>
    <row r="18" spans="2:63" x14ac:dyDescent="0.2">
      <c r="B18" s="38"/>
      <c r="AY18" s="39"/>
      <c r="AZ18" s="39"/>
      <c r="BA18" s="39"/>
      <c r="BK18" s="39"/>
    </row>
    <row r="19" spans="2:63" x14ac:dyDescent="0.2">
      <c r="B19" s="38"/>
      <c r="AY19" s="39"/>
      <c r="AZ19" s="39"/>
      <c r="BA19" s="39"/>
      <c r="BK19" s="39"/>
    </row>
    <row r="20" spans="2:63" x14ac:dyDescent="0.2">
      <c r="B20" s="38"/>
      <c r="AY20" s="39"/>
      <c r="AZ20" s="39"/>
      <c r="BA20" s="39"/>
      <c r="BK20" s="39"/>
    </row>
    <row r="21" spans="2:63" x14ac:dyDescent="0.2">
      <c r="B21" s="38"/>
      <c r="AY21" s="39"/>
      <c r="AZ21" s="39"/>
      <c r="BA21" s="39"/>
      <c r="BK21" s="39"/>
    </row>
    <row r="22" spans="2:63" x14ac:dyDescent="0.2">
      <c r="B22" s="38"/>
      <c r="AY22" s="39"/>
      <c r="AZ22" s="39"/>
      <c r="BA22" s="39"/>
      <c r="BK22" s="39"/>
    </row>
    <row r="23" spans="2:63" x14ac:dyDescent="0.2">
      <c r="B23" s="38"/>
      <c r="AY23" s="39"/>
      <c r="AZ23" s="39"/>
      <c r="BA23" s="39"/>
      <c r="BK23" s="39"/>
    </row>
    <row r="24" spans="2:63" x14ac:dyDescent="0.2">
      <c r="B24" s="38"/>
      <c r="AY24" s="39"/>
      <c r="AZ24" s="39"/>
      <c r="BA24" s="39"/>
      <c r="BK24" s="39"/>
    </row>
    <row r="25" spans="2:63" x14ac:dyDescent="0.2">
      <c r="B25" s="38"/>
      <c r="AY25" s="39"/>
      <c r="AZ25" s="39"/>
      <c r="BA25" s="39"/>
      <c r="BK25" s="39"/>
    </row>
    <row r="26" spans="2:63" x14ac:dyDescent="0.2">
      <c r="B26" s="38"/>
      <c r="AY26" s="39"/>
      <c r="AZ26" s="39"/>
      <c r="BA26" s="39"/>
      <c r="BK26" s="39"/>
    </row>
    <row r="27" spans="2:63" x14ac:dyDescent="0.2">
      <c r="B27" s="38"/>
      <c r="AY27" s="39"/>
      <c r="AZ27" s="39"/>
      <c r="BA27" s="39"/>
      <c r="BK27" s="39"/>
    </row>
    <row r="28" spans="2:63" x14ac:dyDescent="0.2">
      <c r="B28" s="38"/>
      <c r="AY28" s="39"/>
      <c r="AZ28" s="39"/>
      <c r="BA28" s="39"/>
      <c r="BK28" s="39"/>
    </row>
    <row r="29" spans="2:63" x14ac:dyDescent="0.2">
      <c r="B29" s="38"/>
      <c r="AY29" s="39"/>
      <c r="AZ29" s="39"/>
      <c r="BA29" s="39"/>
      <c r="BK29" s="39"/>
    </row>
    <row r="30" spans="2:63" x14ac:dyDescent="0.2">
      <c r="B30" s="38"/>
      <c r="AY30" s="39"/>
      <c r="AZ30" s="39"/>
      <c r="BA30" s="39"/>
      <c r="BK30" s="39"/>
    </row>
    <row r="31" spans="2:63" x14ac:dyDescent="0.2">
      <c r="B31" s="38"/>
      <c r="AY31" s="39"/>
      <c r="AZ31" s="39"/>
      <c r="BA31" s="39"/>
      <c r="BK31" s="39"/>
    </row>
    <row r="32" spans="2:63" x14ac:dyDescent="0.2">
      <c r="B32" s="38"/>
      <c r="AY32" s="39"/>
      <c r="AZ32" s="39"/>
      <c r="BA32" s="39"/>
      <c r="BK32" s="39"/>
    </row>
    <row r="33" spans="2:63" x14ac:dyDescent="0.2">
      <c r="B33" s="38"/>
      <c r="AY33" s="39"/>
      <c r="AZ33" s="39"/>
      <c r="BA33" s="39"/>
      <c r="BK33" s="39"/>
    </row>
    <row r="34" spans="2:63" x14ac:dyDescent="0.2">
      <c r="B34" s="38"/>
      <c r="AY34" s="39"/>
      <c r="AZ34" s="39"/>
      <c r="BA34" s="39"/>
      <c r="BK34" s="39"/>
    </row>
    <row r="35" spans="2:63" x14ac:dyDescent="0.2">
      <c r="B35" s="38"/>
      <c r="AY35" s="39"/>
      <c r="AZ35" s="39"/>
      <c r="BA35" s="39"/>
      <c r="BK35" s="39"/>
    </row>
    <row r="36" spans="2:63" x14ac:dyDescent="0.2">
      <c r="B36" s="38"/>
      <c r="AY36" s="39"/>
      <c r="AZ36" s="39"/>
      <c r="BA36" s="39"/>
      <c r="BK36" s="39"/>
    </row>
    <row r="37" spans="2:63" x14ac:dyDescent="0.2">
      <c r="B37" s="38"/>
      <c r="AY37" s="39"/>
      <c r="AZ37" s="39"/>
      <c r="BA37" s="39"/>
      <c r="BK37" s="39"/>
    </row>
    <row r="38" spans="2:63" x14ac:dyDescent="0.2">
      <c r="B38" s="38"/>
      <c r="AY38" s="39"/>
      <c r="AZ38" s="39"/>
      <c r="BA38" s="39"/>
      <c r="BK38" s="39"/>
    </row>
    <row r="39" spans="2:63" x14ac:dyDescent="0.2">
      <c r="B39" s="38"/>
      <c r="AY39" s="39"/>
      <c r="AZ39" s="39"/>
      <c r="BA39" s="39"/>
      <c r="BK39" s="39"/>
    </row>
    <row r="40" spans="2:63" x14ac:dyDescent="0.2">
      <c r="B40" s="38"/>
      <c r="AY40" s="39"/>
      <c r="AZ40" s="39"/>
      <c r="BA40" s="39"/>
      <c r="BK40" s="39"/>
    </row>
    <row r="41" spans="2:63" x14ac:dyDescent="0.2">
      <c r="B41" s="38"/>
      <c r="AY41" s="39"/>
      <c r="AZ41" s="39"/>
      <c r="BA41" s="39"/>
      <c r="BK41" s="39"/>
    </row>
    <row r="42" spans="2:63" x14ac:dyDescent="0.2">
      <c r="B42" s="38"/>
      <c r="AY42" s="39"/>
      <c r="AZ42" s="39"/>
      <c r="BA42" s="39"/>
      <c r="BK42" s="39"/>
    </row>
    <row r="43" spans="2:63" x14ac:dyDescent="0.2">
      <c r="B43" s="38"/>
      <c r="AY43" s="39"/>
      <c r="AZ43" s="39"/>
      <c r="BA43" s="39"/>
      <c r="BK43" s="39"/>
    </row>
    <row r="44" spans="2:63" x14ac:dyDescent="0.2">
      <c r="B44" s="38"/>
      <c r="AY44" s="39"/>
      <c r="AZ44" s="39"/>
      <c r="BA44" s="39"/>
      <c r="BK44" s="39"/>
    </row>
    <row r="45" spans="2:63" x14ac:dyDescent="0.2">
      <c r="B45" s="38"/>
      <c r="AY45" s="39"/>
      <c r="AZ45" s="39"/>
      <c r="BA45" s="39"/>
      <c r="BK45" s="39"/>
    </row>
    <row r="46" spans="2:63" x14ac:dyDescent="0.2">
      <c r="B46" s="38"/>
      <c r="AY46" s="39"/>
      <c r="AZ46" s="39"/>
      <c r="BA46" s="39"/>
      <c r="BK46" s="39"/>
    </row>
    <row r="47" spans="2:63" x14ac:dyDescent="0.2">
      <c r="B47" s="38"/>
      <c r="AY47" s="39"/>
      <c r="AZ47" s="39"/>
      <c r="BA47" s="39"/>
      <c r="BK47" s="39"/>
    </row>
    <row r="48" spans="2:63" x14ac:dyDescent="0.2">
      <c r="B48" s="38"/>
      <c r="AY48" s="39"/>
      <c r="AZ48" s="39"/>
      <c r="BA48" s="39"/>
      <c r="BK48" s="39"/>
    </row>
    <row r="49" spans="2:63" x14ac:dyDescent="0.2">
      <c r="B49" s="38"/>
      <c r="AY49" s="39"/>
      <c r="AZ49" s="39"/>
      <c r="BA49" s="39"/>
      <c r="BK49" s="39"/>
    </row>
    <row r="50" spans="2:63" x14ac:dyDescent="0.2">
      <c r="B50" s="38"/>
      <c r="AY50" s="39"/>
      <c r="AZ50" s="39"/>
      <c r="BA50" s="39"/>
      <c r="BK50" s="39"/>
    </row>
    <row r="51" spans="2:63" x14ac:dyDescent="0.2">
      <c r="B51" s="38"/>
      <c r="AY51" s="39"/>
      <c r="AZ51" s="39"/>
      <c r="BA51" s="39"/>
      <c r="BK51" s="39"/>
    </row>
    <row r="52" spans="2:63" x14ac:dyDescent="0.2">
      <c r="B52" s="38"/>
      <c r="AY52" s="39"/>
      <c r="AZ52" s="39"/>
      <c r="BA52" s="39"/>
      <c r="BK52" s="39"/>
    </row>
    <row r="53" spans="2:63" x14ac:dyDescent="0.2">
      <c r="B53" s="38"/>
      <c r="AY53" s="39"/>
      <c r="AZ53" s="39"/>
      <c r="BA53" s="39"/>
      <c r="BK53" s="39"/>
    </row>
    <row r="54" spans="2:63" x14ac:dyDescent="0.2">
      <c r="B54" s="38"/>
      <c r="AY54" s="39"/>
      <c r="AZ54" s="39"/>
      <c r="BA54" s="39"/>
      <c r="BK54" s="39"/>
    </row>
    <row r="55" spans="2:63" x14ac:dyDescent="0.2">
      <c r="B55" s="38"/>
      <c r="AY55" s="39"/>
      <c r="AZ55" s="39"/>
      <c r="BA55" s="39"/>
      <c r="BK55" s="39"/>
    </row>
    <row r="56" spans="2:63" x14ac:dyDescent="0.2">
      <c r="B56" s="38"/>
      <c r="AY56" s="39"/>
      <c r="AZ56" s="39"/>
      <c r="BA56" s="39"/>
      <c r="BK56" s="39"/>
    </row>
    <row r="57" spans="2:63" x14ac:dyDescent="0.2">
      <c r="B57" s="38"/>
      <c r="AY57" s="39"/>
      <c r="AZ57" s="39"/>
      <c r="BA57" s="39"/>
      <c r="BK57" s="39"/>
    </row>
    <row r="58" spans="2:63" x14ac:dyDescent="0.2">
      <c r="B58" s="38"/>
      <c r="AY58" s="39"/>
      <c r="AZ58" s="39"/>
      <c r="BA58" s="39"/>
      <c r="BK58" s="39"/>
    </row>
    <row r="59" spans="2:63" x14ac:dyDescent="0.2">
      <c r="B59" s="38"/>
      <c r="AY59" s="39"/>
      <c r="AZ59" s="39"/>
      <c r="BA59" s="39"/>
      <c r="BK59" s="39"/>
    </row>
    <row r="60" spans="2:63" x14ac:dyDescent="0.2">
      <c r="B60" s="38"/>
      <c r="AY60" s="39"/>
      <c r="AZ60" s="39"/>
      <c r="BA60" s="39"/>
      <c r="BK60" s="39"/>
    </row>
    <row r="61" spans="2:63" x14ac:dyDescent="0.2">
      <c r="B61" s="38"/>
      <c r="AY61" s="39"/>
      <c r="AZ61" s="39"/>
      <c r="BA61" s="39"/>
      <c r="BK61" s="39"/>
    </row>
    <row r="62" spans="2:63" x14ac:dyDescent="0.2">
      <c r="B62" s="38"/>
      <c r="AY62" s="39"/>
      <c r="AZ62" s="39"/>
      <c r="BA62" s="39"/>
      <c r="BK62" s="39"/>
    </row>
    <row r="63" spans="2:63" x14ac:dyDescent="0.2">
      <c r="B63" s="38"/>
      <c r="AY63" s="39"/>
      <c r="AZ63" s="39"/>
      <c r="BA63" s="39"/>
      <c r="BK63" s="39"/>
    </row>
    <row r="64" spans="2:63" x14ac:dyDescent="0.2">
      <c r="B64" s="38"/>
      <c r="AY64" s="39"/>
      <c r="AZ64" s="39"/>
      <c r="BA64" s="39"/>
      <c r="BK64" s="39"/>
    </row>
    <row r="65" spans="2:63" x14ac:dyDescent="0.2">
      <c r="B65" s="38"/>
      <c r="AY65" s="39"/>
      <c r="AZ65" s="39"/>
      <c r="BA65" s="39"/>
      <c r="BK65" s="39"/>
    </row>
    <row r="66" spans="2:63" x14ac:dyDescent="0.2">
      <c r="B66" s="38"/>
      <c r="AY66" s="39"/>
      <c r="AZ66" s="39"/>
      <c r="BA66" s="39"/>
      <c r="BK66" s="39"/>
    </row>
    <row r="67" spans="2:63" x14ac:dyDescent="0.2">
      <c r="B67" s="38"/>
      <c r="AY67" s="39"/>
      <c r="AZ67" s="39"/>
      <c r="BA67" s="39"/>
      <c r="BK67" s="39"/>
    </row>
    <row r="68" spans="2:63" x14ac:dyDescent="0.2">
      <c r="B68" s="38"/>
      <c r="AY68" s="39"/>
      <c r="AZ68" s="39"/>
      <c r="BA68" s="39"/>
      <c r="BK68" s="39"/>
    </row>
    <row r="69" spans="2:63" x14ac:dyDescent="0.2">
      <c r="B69" s="38"/>
      <c r="AY69" s="39"/>
      <c r="AZ69" s="39"/>
      <c r="BA69" s="39"/>
      <c r="BK69" s="39"/>
    </row>
    <row r="70" spans="2:63" x14ac:dyDescent="0.2">
      <c r="B70" s="38"/>
      <c r="AY70" s="39"/>
      <c r="AZ70" s="39"/>
      <c r="BA70" s="39"/>
      <c r="BK70" s="39"/>
    </row>
    <row r="71" spans="2:63" x14ac:dyDescent="0.2">
      <c r="B71" s="38"/>
      <c r="AY71" s="39"/>
      <c r="AZ71" s="39"/>
      <c r="BA71" s="39"/>
      <c r="BK71" s="39"/>
    </row>
    <row r="72" spans="2:63" x14ac:dyDescent="0.2">
      <c r="B72" s="38"/>
      <c r="AY72" s="39"/>
      <c r="AZ72" s="39"/>
      <c r="BA72" s="39"/>
      <c r="BK72" s="39"/>
    </row>
    <row r="73" spans="2:63" x14ac:dyDescent="0.2">
      <c r="B73" s="38"/>
      <c r="AY73" s="39"/>
      <c r="AZ73" s="39"/>
      <c r="BA73" s="39"/>
      <c r="BK73" s="39"/>
    </row>
    <row r="74" spans="2:63" x14ac:dyDescent="0.2">
      <c r="B74" s="38"/>
      <c r="AY74" s="39"/>
      <c r="AZ74" s="39"/>
      <c r="BA74" s="39"/>
      <c r="BK74" s="39"/>
    </row>
    <row r="75" spans="2:63" x14ac:dyDescent="0.2">
      <c r="B75" s="38"/>
      <c r="AY75" s="39"/>
      <c r="AZ75" s="39"/>
      <c r="BA75" s="39"/>
      <c r="BK75" s="39"/>
    </row>
    <row r="76" spans="2:63" x14ac:dyDescent="0.2">
      <c r="B76" s="38"/>
      <c r="AY76" s="39"/>
      <c r="AZ76" s="39"/>
      <c r="BA76" s="39"/>
      <c r="BK76" s="39"/>
    </row>
    <row r="77" spans="2:63" x14ac:dyDescent="0.2">
      <c r="B77" s="38"/>
      <c r="AY77" s="39"/>
      <c r="AZ77" s="39"/>
      <c r="BA77" s="39"/>
      <c r="BK77" s="39"/>
    </row>
    <row r="78" spans="2:63" x14ac:dyDescent="0.2">
      <c r="B78" s="38"/>
      <c r="AY78" s="39"/>
      <c r="AZ78" s="39"/>
      <c r="BA78" s="39"/>
      <c r="BK78" s="39"/>
    </row>
    <row r="79" spans="2:63" x14ac:dyDescent="0.2">
      <c r="B79" s="38"/>
      <c r="AY79" s="39"/>
      <c r="AZ79" s="39"/>
      <c r="BA79" s="39"/>
      <c r="BK79" s="39"/>
    </row>
    <row r="80" spans="2:63" x14ac:dyDescent="0.2">
      <c r="B80" s="38"/>
      <c r="AY80" s="39"/>
      <c r="AZ80" s="39"/>
      <c r="BA80" s="39"/>
      <c r="BK80" s="39"/>
    </row>
    <row r="81" spans="2:63" x14ac:dyDescent="0.2">
      <c r="B81" s="38"/>
      <c r="AY81" s="39"/>
      <c r="AZ81" s="39"/>
      <c r="BA81" s="39"/>
      <c r="BK81" s="39"/>
    </row>
    <row r="82" spans="2:63" x14ac:dyDescent="0.2">
      <c r="B82" s="38"/>
      <c r="AY82" s="39"/>
      <c r="AZ82" s="39"/>
      <c r="BA82" s="39"/>
      <c r="BK82" s="39"/>
    </row>
    <row r="83" spans="2:63" x14ac:dyDescent="0.2">
      <c r="B83" s="38"/>
      <c r="AY83" s="39"/>
      <c r="AZ83" s="39"/>
      <c r="BA83" s="39"/>
      <c r="BK83" s="39"/>
    </row>
    <row r="84" spans="2:63" x14ac:dyDescent="0.2">
      <c r="B84" s="38"/>
      <c r="AY84" s="39"/>
      <c r="AZ84" s="39"/>
      <c r="BA84" s="39"/>
      <c r="BK84" s="39"/>
    </row>
    <row r="85" spans="2:63" x14ac:dyDescent="0.2">
      <c r="B85" s="38"/>
      <c r="AY85" s="39"/>
      <c r="AZ85" s="39"/>
      <c r="BA85" s="39"/>
      <c r="BK85" s="39"/>
    </row>
    <row r="86" spans="2:63" x14ac:dyDescent="0.2">
      <c r="B86" s="38"/>
      <c r="AY86" s="39"/>
      <c r="AZ86" s="39"/>
      <c r="BA86" s="39"/>
      <c r="BK86" s="39"/>
    </row>
    <row r="87" spans="2:63" x14ac:dyDescent="0.2">
      <c r="B87" s="38"/>
      <c r="AY87" s="39"/>
      <c r="AZ87" s="39"/>
      <c r="BA87" s="39"/>
      <c r="BK87" s="39"/>
    </row>
    <row r="88" spans="2:63" x14ac:dyDescent="0.2">
      <c r="B88" s="38"/>
      <c r="AY88" s="39"/>
      <c r="AZ88" s="39"/>
      <c r="BA88" s="39"/>
      <c r="BK88" s="39"/>
    </row>
    <row r="89" spans="2:63" x14ac:dyDescent="0.2">
      <c r="B89" s="38"/>
      <c r="AY89" s="39"/>
      <c r="AZ89" s="39"/>
      <c r="BA89" s="39"/>
      <c r="BK89" s="39"/>
    </row>
    <row r="90" spans="2:63" x14ac:dyDescent="0.2">
      <c r="B90" s="38"/>
      <c r="AY90" s="39"/>
      <c r="AZ90" s="39"/>
      <c r="BA90" s="39"/>
      <c r="BK90" s="39"/>
    </row>
    <row r="91" spans="2:63" x14ac:dyDescent="0.2">
      <c r="B91" s="38"/>
      <c r="AY91" s="39"/>
      <c r="AZ91" s="39"/>
      <c r="BA91" s="39"/>
      <c r="BK91" s="39"/>
    </row>
    <row r="92" spans="2:63" x14ac:dyDescent="0.2">
      <c r="B92" s="38"/>
      <c r="AY92" s="39"/>
      <c r="AZ92" s="39"/>
      <c r="BA92" s="39"/>
      <c r="BK92" s="39"/>
    </row>
    <row r="93" spans="2:63" x14ac:dyDescent="0.2">
      <c r="B93" s="38"/>
      <c r="AY93" s="39"/>
      <c r="AZ93" s="39"/>
      <c r="BA93" s="39"/>
      <c r="BK93" s="39"/>
    </row>
    <row r="94" spans="2:63" x14ac:dyDescent="0.2">
      <c r="B94" s="38"/>
      <c r="AY94" s="39"/>
      <c r="AZ94" s="39"/>
      <c r="BA94" s="39"/>
      <c r="BK94" s="39"/>
    </row>
    <row r="95" spans="2:63" x14ac:dyDescent="0.2">
      <c r="B95" s="38"/>
      <c r="AY95" s="39"/>
      <c r="AZ95" s="39"/>
      <c r="BA95" s="39"/>
      <c r="BK95" s="39"/>
    </row>
    <row r="96" spans="2:63" x14ac:dyDescent="0.2">
      <c r="B96" s="38"/>
      <c r="AY96" s="39"/>
      <c r="AZ96" s="39"/>
      <c r="BA96" s="39"/>
      <c r="BK96" s="39"/>
    </row>
    <row r="97" spans="2:63" x14ac:dyDescent="0.2">
      <c r="B97" s="38"/>
      <c r="AY97" s="39"/>
      <c r="AZ97" s="39"/>
      <c r="BA97" s="39"/>
      <c r="BK97" s="39"/>
    </row>
    <row r="98" spans="2:63" x14ac:dyDescent="0.2">
      <c r="B98" s="38"/>
      <c r="AY98" s="39"/>
      <c r="AZ98" s="39"/>
      <c r="BA98" s="39"/>
      <c r="BK98" s="39"/>
    </row>
    <row r="99" spans="2:63" x14ac:dyDescent="0.2">
      <c r="B99" s="38"/>
      <c r="AY99" s="39"/>
      <c r="AZ99" s="39"/>
      <c r="BA99" s="39"/>
      <c r="BK99" s="39"/>
    </row>
    <row r="100" spans="2:63" x14ac:dyDescent="0.2">
      <c r="B100" s="38"/>
      <c r="AY100" s="39"/>
      <c r="AZ100" s="39"/>
      <c r="BA100" s="39"/>
      <c r="BK100" s="39"/>
    </row>
    <row r="101" spans="2:63" x14ac:dyDescent="0.2">
      <c r="B101" s="38"/>
      <c r="AY101" s="39"/>
      <c r="AZ101" s="39"/>
      <c r="BA101" s="39"/>
      <c r="BK101" s="39"/>
    </row>
    <row r="102" spans="2:63" x14ac:dyDescent="0.2">
      <c r="B102" s="38"/>
      <c r="AY102" s="39"/>
      <c r="AZ102" s="39"/>
      <c r="BA102" s="39"/>
      <c r="BK102" s="39"/>
    </row>
    <row r="103" spans="2:63" x14ac:dyDescent="0.2">
      <c r="B103" s="38"/>
      <c r="AY103" s="39"/>
      <c r="AZ103" s="39"/>
      <c r="BA103" s="39"/>
      <c r="BK103" s="39"/>
    </row>
    <row r="104" spans="2:63" x14ac:dyDescent="0.2">
      <c r="B104" s="38"/>
      <c r="AY104" s="39"/>
      <c r="AZ104" s="39"/>
      <c r="BA104" s="39"/>
      <c r="BK104" s="39"/>
    </row>
    <row r="105" spans="2:63" x14ac:dyDescent="0.2">
      <c r="B105" s="38"/>
      <c r="AY105" s="39"/>
      <c r="AZ105" s="39"/>
      <c r="BA105" s="39"/>
      <c r="BK105" s="39"/>
    </row>
    <row r="106" spans="2:63" x14ac:dyDescent="0.2">
      <c r="B106" s="38"/>
      <c r="AY106" s="39"/>
      <c r="AZ106" s="39"/>
      <c r="BA106" s="39"/>
      <c r="BK106" s="39"/>
    </row>
    <row r="107" spans="2:63" x14ac:dyDescent="0.2">
      <c r="B107" s="38"/>
      <c r="AY107" s="39"/>
      <c r="AZ107" s="39"/>
      <c r="BA107" s="39"/>
      <c r="BK107" s="39"/>
    </row>
    <row r="108" spans="2:63" x14ac:dyDescent="0.2">
      <c r="B108" s="38"/>
      <c r="AY108" s="39"/>
      <c r="AZ108" s="39"/>
      <c r="BA108" s="39"/>
      <c r="BK108" s="39"/>
    </row>
    <row r="109" spans="2:63" x14ac:dyDescent="0.2">
      <c r="B109" s="38"/>
      <c r="AY109" s="39"/>
      <c r="AZ109" s="39"/>
      <c r="BA109" s="39"/>
      <c r="BK109" s="39"/>
    </row>
    <row r="110" spans="2:63" x14ac:dyDescent="0.2">
      <c r="B110" s="38"/>
      <c r="AY110" s="39"/>
      <c r="AZ110" s="39"/>
      <c r="BA110" s="39"/>
      <c r="BK110" s="39"/>
    </row>
    <row r="111" spans="2:63" x14ac:dyDescent="0.2">
      <c r="B111" s="38"/>
      <c r="AY111" s="39"/>
      <c r="AZ111" s="39"/>
      <c r="BA111" s="39"/>
      <c r="BK111" s="39"/>
    </row>
    <row r="112" spans="2:63" x14ac:dyDescent="0.2">
      <c r="B112" s="38"/>
      <c r="AY112" s="39"/>
      <c r="AZ112" s="39"/>
      <c r="BA112" s="39"/>
      <c r="BK112" s="39"/>
    </row>
    <row r="113" spans="2:63" x14ac:dyDescent="0.2">
      <c r="B113" s="38"/>
      <c r="AY113" s="39"/>
      <c r="AZ113" s="39"/>
      <c r="BA113" s="39"/>
      <c r="BK113" s="39"/>
    </row>
    <row r="114" spans="2:63" x14ac:dyDescent="0.2">
      <c r="B114" s="38"/>
      <c r="AY114" s="39"/>
      <c r="AZ114" s="39"/>
      <c r="BA114" s="39"/>
      <c r="BK114" s="39"/>
    </row>
    <row r="115" spans="2:63" x14ac:dyDescent="0.2">
      <c r="B115" s="38"/>
      <c r="AY115" s="39"/>
      <c r="AZ115" s="39"/>
      <c r="BA115" s="39"/>
      <c r="BK115" s="39"/>
    </row>
    <row r="116" spans="2:63" x14ac:dyDescent="0.2">
      <c r="B116" s="38"/>
      <c r="AY116" s="39"/>
      <c r="AZ116" s="39"/>
      <c r="BA116" s="39"/>
      <c r="BK116" s="39"/>
    </row>
    <row r="117" spans="2:63" x14ac:dyDescent="0.2">
      <c r="B117" s="38"/>
      <c r="AY117" s="39"/>
      <c r="AZ117" s="39"/>
      <c r="BA117" s="39"/>
      <c r="BK117" s="39"/>
    </row>
    <row r="118" spans="2:63" x14ac:dyDescent="0.2">
      <c r="B118" s="38"/>
      <c r="AY118" s="39"/>
      <c r="AZ118" s="39"/>
      <c r="BA118" s="39"/>
      <c r="BK118" s="39"/>
    </row>
    <row r="119" spans="2:63" x14ac:dyDescent="0.2">
      <c r="B119" s="38"/>
      <c r="AY119" s="39"/>
      <c r="AZ119" s="39"/>
      <c r="BA119" s="39"/>
      <c r="BK119" s="39"/>
    </row>
    <row r="120" spans="2:63" x14ac:dyDescent="0.2">
      <c r="B120" s="38"/>
      <c r="AY120" s="39"/>
      <c r="AZ120" s="39"/>
      <c r="BA120" s="39"/>
      <c r="BK120" s="39"/>
    </row>
    <row r="121" spans="2:63" x14ac:dyDescent="0.2">
      <c r="B121" s="38"/>
      <c r="AY121" s="39"/>
      <c r="AZ121" s="39"/>
      <c r="BA121" s="39"/>
      <c r="BK121" s="39"/>
    </row>
    <row r="122" spans="2:63" x14ac:dyDescent="0.2">
      <c r="B122" s="38"/>
      <c r="AY122" s="39"/>
      <c r="AZ122" s="39"/>
      <c r="BA122" s="39"/>
      <c r="BK122" s="39"/>
    </row>
    <row r="123" spans="2:63" x14ac:dyDescent="0.2">
      <c r="B123" s="38"/>
      <c r="AY123" s="39"/>
      <c r="AZ123" s="39"/>
      <c r="BA123" s="39"/>
      <c r="BK123" s="39"/>
    </row>
    <row r="124" spans="2:63" x14ac:dyDescent="0.2">
      <c r="B124" s="38"/>
      <c r="AY124" s="39"/>
      <c r="AZ124" s="39"/>
      <c r="BA124" s="39"/>
      <c r="BK124" s="39"/>
    </row>
    <row r="125" spans="2:63" x14ac:dyDescent="0.2">
      <c r="B125" s="38"/>
      <c r="AY125" s="39"/>
      <c r="AZ125" s="39"/>
      <c r="BA125" s="39"/>
      <c r="BK125" s="39"/>
    </row>
    <row r="126" spans="2:63" x14ac:dyDescent="0.2">
      <c r="B126" s="38"/>
      <c r="AY126" s="39"/>
      <c r="AZ126" s="39"/>
      <c r="BA126" s="39"/>
      <c r="BK126" s="39"/>
    </row>
    <row r="127" spans="2:63" x14ac:dyDescent="0.2">
      <c r="B127" s="38"/>
      <c r="AY127" s="39"/>
      <c r="AZ127" s="39"/>
      <c r="BA127" s="39"/>
      <c r="BK127" s="39"/>
    </row>
    <row r="128" spans="2:63" x14ac:dyDescent="0.2">
      <c r="B128" s="38"/>
      <c r="AY128" s="39"/>
      <c r="AZ128" s="39"/>
      <c r="BA128" s="39"/>
      <c r="BK128" s="39"/>
    </row>
    <row r="129" spans="2:63" x14ac:dyDescent="0.2">
      <c r="B129" s="38"/>
      <c r="AY129" s="39"/>
      <c r="AZ129" s="39"/>
      <c r="BA129" s="39"/>
      <c r="BK129" s="39"/>
    </row>
    <row r="130" spans="2:63" x14ac:dyDescent="0.2">
      <c r="B130" s="38"/>
      <c r="AY130" s="39"/>
      <c r="AZ130" s="39"/>
      <c r="BA130" s="39"/>
      <c r="BK130" s="39"/>
    </row>
    <row r="131" spans="2:63" x14ac:dyDescent="0.2">
      <c r="B131" s="38"/>
      <c r="AY131" s="39"/>
      <c r="AZ131" s="39"/>
      <c r="BA131" s="39"/>
      <c r="BK131" s="39"/>
    </row>
    <row r="132" spans="2:63" x14ac:dyDescent="0.2">
      <c r="B132" s="38"/>
      <c r="AY132" s="39"/>
      <c r="AZ132" s="39"/>
      <c r="BA132" s="39"/>
      <c r="BK132" s="39"/>
    </row>
    <row r="133" spans="2:63" x14ac:dyDescent="0.2">
      <c r="B133" s="38"/>
      <c r="AY133" s="39"/>
      <c r="AZ133" s="39"/>
      <c r="BA133" s="39"/>
      <c r="BK133" s="39"/>
    </row>
    <row r="134" spans="2:63" x14ac:dyDescent="0.2">
      <c r="B134" s="38"/>
      <c r="AY134" s="39"/>
      <c r="AZ134" s="39"/>
      <c r="BA134" s="39"/>
      <c r="BK134" s="39"/>
    </row>
    <row r="135" spans="2:63" x14ac:dyDescent="0.2">
      <c r="B135" s="38"/>
      <c r="AY135" s="39"/>
      <c r="AZ135" s="39"/>
      <c r="BA135" s="39"/>
      <c r="BK135" s="39"/>
    </row>
    <row r="136" spans="2:63" x14ac:dyDescent="0.2">
      <c r="B136" s="38"/>
      <c r="AY136" s="39"/>
      <c r="AZ136" s="39"/>
      <c r="BA136" s="39"/>
      <c r="BK136" s="39"/>
    </row>
    <row r="137" spans="2:63" x14ac:dyDescent="0.2">
      <c r="B137" s="38"/>
      <c r="AY137" s="39"/>
      <c r="AZ137" s="39"/>
      <c r="BA137" s="39"/>
      <c r="BK137" s="39"/>
    </row>
    <row r="138" spans="2:63" x14ac:dyDescent="0.2">
      <c r="B138" s="38"/>
      <c r="AY138" s="39"/>
      <c r="AZ138" s="39"/>
      <c r="BA138" s="39"/>
      <c r="BK138" s="39"/>
    </row>
    <row r="139" spans="2:63" x14ac:dyDescent="0.2">
      <c r="B139" s="38"/>
      <c r="AY139" s="39"/>
      <c r="AZ139" s="39"/>
      <c r="BA139" s="39"/>
      <c r="BK139" s="39"/>
    </row>
    <row r="140" spans="2:63" x14ac:dyDescent="0.2">
      <c r="B140" s="38"/>
      <c r="AY140" s="39"/>
      <c r="AZ140" s="39"/>
      <c r="BA140" s="39"/>
      <c r="BK140" s="39"/>
    </row>
    <row r="141" spans="2:63" x14ac:dyDescent="0.2">
      <c r="B141" s="38"/>
      <c r="AY141" s="39"/>
      <c r="AZ141" s="39"/>
      <c r="BA141" s="39"/>
      <c r="BK141" s="39"/>
    </row>
    <row r="142" spans="2:63" x14ac:dyDescent="0.2">
      <c r="B142" s="38"/>
      <c r="AY142" s="39"/>
      <c r="AZ142" s="39"/>
      <c r="BA142" s="39"/>
      <c r="BK142" s="39"/>
    </row>
    <row r="143" spans="2:63" x14ac:dyDescent="0.2">
      <c r="B143" s="38"/>
      <c r="AY143" s="39"/>
      <c r="AZ143" s="39"/>
      <c r="BA143" s="39"/>
      <c r="BK143" s="39"/>
    </row>
    <row r="144" spans="2:63" x14ac:dyDescent="0.2">
      <c r="B144" s="38"/>
      <c r="AY144" s="39"/>
      <c r="AZ144" s="39"/>
      <c r="BA144" s="39"/>
      <c r="BK144" s="39"/>
    </row>
    <row r="145" spans="2:63" x14ac:dyDescent="0.2">
      <c r="B145" s="38"/>
      <c r="AY145" s="39"/>
      <c r="AZ145" s="39"/>
      <c r="BA145" s="39"/>
      <c r="BK145" s="39"/>
    </row>
    <row r="146" spans="2:63" x14ac:dyDescent="0.2">
      <c r="B146" s="38"/>
      <c r="AY146" s="39"/>
      <c r="AZ146" s="39"/>
      <c r="BA146" s="39"/>
      <c r="BK146" s="39"/>
    </row>
    <row r="147" spans="2:63" x14ac:dyDescent="0.2">
      <c r="B147" s="38"/>
      <c r="AY147" s="39"/>
      <c r="AZ147" s="39"/>
      <c r="BA147" s="39"/>
      <c r="BK147" s="39"/>
    </row>
    <row r="148" spans="2:63" x14ac:dyDescent="0.2">
      <c r="B148" s="38"/>
      <c r="AY148" s="39"/>
      <c r="AZ148" s="39"/>
      <c r="BA148" s="39"/>
      <c r="BK148" s="39"/>
    </row>
    <row r="149" spans="2:63" x14ac:dyDescent="0.2">
      <c r="B149" s="38"/>
      <c r="AY149" s="39"/>
      <c r="AZ149" s="39"/>
      <c r="BA149" s="39"/>
      <c r="BK149" s="39"/>
    </row>
    <row r="150" spans="2:63" x14ac:dyDescent="0.2">
      <c r="B150" s="38"/>
      <c r="AY150" s="39"/>
      <c r="AZ150" s="39"/>
      <c r="BA150" s="39"/>
      <c r="BK150" s="39"/>
    </row>
    <row r="151" spans="2:63" x14ac:dyDescent="0.2">
      <c r="B151" s="38"/>
      <c r="AY151" s="39"/>
      <c r="AZ151" s="39"/>
      <c r="BA151" s="39"/>
      <c r="BK151" s="39"/>
    </row>
    <row r="152" spans="2:63" x14ac:dyDescent="0.2">
      <c r="B152" s="38"/>
      <c r="AY152" s="39"/>
      <c r="AZ152" s="39"/>
      <c r="BA152" s="39"/>
      <c r="BK152" s="39"/>
    </row>
    <row r="153" spans="2:63" x14ac:dyDescent="0.2">
      <c r="B153" s="38"/>
      <c r="AY153" s="39"/>
      <c r="AZ153" s="39"/>
      <c r="BA153" s="39"/>
      <c r="BK153" s="39"/>
    </row>
    <row r="154" spans="2:63" x14ac:dyDescent="0.2">
      <c r="B154" s="38"/>
      <c r="AY154" s="39"/>
      <c r="AZ154" s="39"/>
      <c r="BA154" s="39"/>
      <c r="BK154" s="39"/>
    </row>
    <row r="155" spans="2:63" x14ac:dyDescent="0.2">
      <c r="B155" s="38"/>
      <c r="AY155" s="39"/>
      <c r="AZ155" s="39"/>
      <c r="BA155" s="39"/>
      <c r="BK155" s="39"/>
    </row>
    <row r="156" spans="2:63" x14ac:dyDescent="0.2">
      <c r="B156" s="38"/>
      <c r="AY156" s="39"/>
      <c r="AZ156" s="39"/>
      <c r="BA156" s="39"/>
      <c r="BK156" s="39"/>
    </row>
    <row r="157" spans="2:63" x14ac:dyDescent="0.2">
      <c r="B157" s="38"/>
      <c r="AY157" s="39"/>
      <c r="AZ157" s="39"/>
      <c r="BA157" s="39"/>
      <c r="BK157" s="39"/>
    </row>
    <row r="158" spans="2:63" x14ac:dyDescent="0.2">
      <c r="B158" s="38"/>
      <c r="AY158" s="39"/>
      <c r="AZ158" s="39"/>
      <c r="BA158" s="39"/>
      <c r="BK158" s="39"/>
    </row>
    <row r="159" spans="2:63" x14ac:dyDescent="0.2">
      <c r="B159" s="38"/>
      <c r="AY159" s="39"/>
      <c r="AZ159" s="39"/>
      <c r="BA159" s="39"/>
      <c r="BK159" s="39"/>
    </row>
    <row r="160" spans="2:63" x14ac:dyDescent="0.2">
      <c r="B160" s="38"/>
      <c r="AY160" s="39"/>
      <c r="AZ160" s="39"/>
      <c r="BA160" s="39"/>
      <c r="BK160" s="39"/>
    </row>
    <row r="161" spans="2:63" x14ac:dyDescent="0.2">
      <c r="B161" s="38"/>
      <c r="AY161" s="39"/>
      <c r="AZ161" s="39"/>
      <c r="BA161" s="39"/>
      <c r="BK161" s="39"/>
    </row>
    <row r="162" spans="2:63" x14ac:dyDescent="0.2">
      <c r="B162" s="38"/>
      <c r="AY162" s="39"/>
      <c r="AZ162" s="39"/>
      <c r="BA162" s="39"/>
      <c r="BK162" s="39"/>
    </row>
    <row r="163" spans="2:63" x14ac:dyDescent="0.2">
      <c r="B163" s="38"/>
      <c r="AY163" s="39"/>
      <c r="AZ163" s="39"/>
      <c r="BA163" s="39"/>
      <c r="BK163" s="39"/>
    </row>
    <row r="164" spans="2:63" x14ac:dyDescent="0.2">
      <c r="B164" s="38"/>
      <c r="AY164" s="39"/>
      <c r="AZ164" s="39"/>
      <c r="BA164" s="39"/>
      <c r="BK164" s="39"/>
    </row>
    <row r="165" spans="2:63" x14ac:dyDescent="0.2">
      <c r="B165" s="38"/>
      <c r="AY165" s="39"/>
      <c r="AZ165" s="39"/>
      <c r="BA165" s="39"/>
      <c r="BK165" s="39"/>
    </row>
    <row r="166" spans="2:63" x14ac:dyDescent="0.2">
      <c r="B166" s="38"/>
      <c r="AY166" s="39"/>
      <c r="AZ166" s="39"/>
      <c r="BA166" s="39"/>
      <c r="BK166" s="39"/>
    </row>
    <row r="167" spans="2:63" x14ac:dyDescent="0.2">
      <c r="B167" s="38"/>
      <c r="AY167" s="39"/>
      <c r="AZ167" s="39"/>
      <c r="BA167" s="39"/>
      <c r="BK167" s="39"/>
    </row>
    <row r="168" spans="2:63" x14ac:dyDescent="0.2">
      <c r="B168" s="38"/>
      <c r="AY168" s="39"/>
      <c r="AZ168" s="39"/>
      <c r="BA168" s="39"/>
      <c r="BK168" s="39"/>
    </row>
    <row r="169" spans="2:63" x14ac:dyDescent="0.2">
      <c r="B169" s="38"/>
      <c r="AY169" s="39"/>
      <c r="AZ169" s="39"/>
      <c r="BA169" s="39"/>
      <c r="BK169" s="39"/>
    </row>
    <row r="170" spans="2:63" x14ac:dyDescent="0.2">
      <c r="B170" s="38"/>
      <c r="AY170" s="39"/>
      <c r="AZ170" s="39"/>
      <c r="BA170" s="39"/>
      <c r="BK170" s="39"/>
    </row>
    <row r="171" spans="2:63" x14ac:dyDescent="0.2">
      <c r="B171" s="38"/>
      <c r="AY171" s="39"/>
      <c r="AZ171" s="39"/>
      <c r="BA171" s="39"/>
      <c r="BK171" s="39"/>
    </row>
    <row r="172" spans="2:63" x14ac:dyDescent="0.2">
      <c r="B172" s="38"/>
      <c r="AY172" s="39"/>
      <c r="AZ172" s="39"/>
      <c r="BA172" s="39"/>
      <c r="BK172" s="39"/>
    </row>
    <row r="173" spans="2:63" x14ac:dyDescent="0.2">
      <c r="B173" s="38"/>
      <c r="AY173" s="39"/>
      <c r="AZ173" s="39"/>
      <c r="BA173" s="39"/>
      <c r="BK173" s="39"/>
    </row>
    <row r="174" spans="2:63" x14ac:dyDescent="0.2">
      <c r="B174" s="38"/>
      <c r="AY174" s="39"/>
      <c r="AZ174" s="39"/>
      <c r="BA174" s="39"/>
      <c r="BK174" s="39"/>
    </row>
    <row r="175" spans="2:63" x14ac:dyDescent="0.2">
      <c r="B175" s="38"/>
      <c r="AY175" s="39"/>
      <c r="AZ175" s="39"/>
      <c r="BA175" s="39"/>
      <c r="BK175" s="39"/>
    </row>
    <row r="176" spans="2:63" x14ac:dyDescent="0.2">
      <c r="B176" s="38"/>
      <c r="AY176" s="39"/>
      <c r="AZ176" s="39"/>
      <c r="BA176" s="39"/>
      <c r="BK176" s="39"/>
    </row>
    <row r="177" spans="2:63" x14ac:dyDescent="0.2">
      <c r="B177" s="38"/>
      <c r="AY177" s="39"/>
      <c r="AZ177" s="39"/>
      <c r="BA177" s="39"/>
      <c r="BK177" s="39"/>
    </row>
    <row r="178" spans="2:63" x14ac:dyDescent="0.2">
      <c r="B178" s="38"/>
      <c r="AY178" s="39"/>
      <c r="AZ178" s="39"/>
      <c r="BA178" s="39"/>
      <c r="BK178" s="39"/>
    </row>
    <row r="179" spans="2:63" x14ac:dyDescent="0.2">
      <c r="B179" s="38"/>
      <c r="AY179" s="39"/>
      <c r="AZ179" s="39"/>
      <c r="BA179" s="39"/>
      <c r="BK179" s="39"/>
    </row>
    <row r="180" spans="2:63" x14ac:dyDescent="0.2">
      <c r="B180" s="38"/>
      <c r="AY180" s="39"/>
      <c r="AZ180" s="39"/>
      <c r="BA180" s="39"/>
      <c r="BK180" s="39"/>
    </row>
    <row r="181" spans="2:63" x14ac:dyDescent="0.2">
      <c r="B181" s="38"/>
      <c r="AY181" s="39"/>
      <c r="AZ181" s="39"/>
      <c r="BA181" s="39"/>
      <c r="BK181" s="39"/>
    </row>
    <row r="182" spans="2:63" x14ac:dyDescent="0.2">
      <c r="B182" s="38"/>
      <c r="AY182" s="39"/>
      <c r="AZ182" s="39"/>
      <c r="BA182" s="39"/>
      <c r="BK182" s="39"/>
    </row>
    <row r="183" spans="2:63" x14ac:dyDescent="0.2">
      <c r="B183" s="38"/>
      <c r="AY183" s="39"/>
      <c r="AZ183" s="39"/>
      <c r="BA183" s="39"/>
      <c r="BK183" s="39"/>
    </row>
    <row r="184" spans="2:63" x14ac:dyDescent="0.2">
      <c r="B184" s="38"/>
      <c r="AY184" s="39"/>
      <c r="AZ184" s="39"/>
      <c r="BA184" s="39"/>
      <c r="BK184" s="39"/>
    </row>
    <row r="185" spans="2:63" x14ac:dyDescent="0.2">
      <c r="B185" s="38"/>
      <c r="AY185" s="39"/>
      <c r="AZ185" s="39"/>
      <c r="BA185" s="39"/>
      <c r="BK185" s="39"/>
    </row>
    <row r="186" spans="2:63" x14ac:dyDescent="0.2">
      <c r="B186" s="38"/>
      <c r="AY186" s="39"/>
      <c r="AZ186" s="39"/>
      <c r="BA186" s="39"/>
      <c r="BK186" s="39"/>
    </row>
    <row r="187" spans="2:63" x14ac:dyDescent="0.2">
      <c r="B187" s="38"/>
      <c r="AY187" s="39"/>
      <c r="AZ187" s="39"/>
      <c r="BA187" s="39"/>
      <c r="BK187" s="39"/>
    </row>
    <row r="188" spans="2:63" x14ac:dyDescent="0.2">
      <c r="B188" s="38"/>
      <c r="AY188" s="39"/>
      <c r="AZ188" s="39"/>
      <c r="BA188" s="39"/>
      <c r="BK188" s="39"/>
    </row>
    <row r="189" spans="2:63" x14ac:dyDescent="0.2">
      <c r="B189" s="38"/>
      <c r="AY189" s="39"/>
      <c r="AZ189" s="39"/>
      <c r="BA189" s="39"/>
      <c r="BK189" s="39"/>
    </row>
    <row r="190" spans="2:63" x14ac:dyDescent="0.2">
      <c r="B190" s="38"/>
      <c r="AY190" s="39"/>
      <c r="AZ190" s="39"/>
      <c r="BA190" s="39"/>
      <c r="BK190" s="39"/>
    </row>
    <row r="191" spans="2:63" x14ac:dyDescent="0.2">
      <c r="B191" s="38"/>
      <c r="AY191" s="39"/>
      <c r="AZ191" s="39"/>
      <c r="BA191" s="39"/>
      <c r="BK191" s="39"/>
    </row>
    <row r="192" spans="2:63" x14ac:dyDescent="0.2">
      <c r="B192" s="38"/>
      <c r="AY192" s="39"/>
      <c r="AZ192" s="39"/>
      <c r="BA192" s="39"/>
      <c r="BK192" s="39"/>
    </row>
    <row r="193" spans="2:63" x14ac:dyDescent="0.2">
      <c r="B193" s="38"/>
      <c r="AY193" s="39"/>
      <c r="AZ193" s="39"/>
      <c r="BA193" s="39"/>
      <c r="BK193" s="39"/>
    </row>
    <row r="194" spans="2:63" x14ac:dyDescent="0.2">
      <c r="B194" s="38"/>
      <c r="AY194" s="39"/>
      <c r="AZ194" s="39"/>
      <c r="BA194" s="39"/>
      <c r="BK194" s="39"/>
    </row>
    <row r="195" spans="2:63" x14ac:dyDescent="0.2">
      <c r="B195" s="38"/>
      <c r="AY195" s="39"/>
      <c r="AZ195" s="39"/>
      <c r="BA195" s="39"/>
      <c r="BK195" s="39"/>
    </row>
    <row r="196" spans="2:63" x14ac:dyDescent="0.2">
      <c r="B196" s="38"/>
      <c r="AY196" s="39"/>
      <c r="AZ196" s="39"/>
      <c r="BA196" s="39"/>
      <c r="BK196" s="39"/>
    </row>
    <row r="197" spans="2:63" x14ac:dyDescent="0.2">
      <c r="B197" s="38"/>
      <c r="AY197" s="39"/>
      <c r="AZ197" s="39"/>
      <c r="BA197" s="39"/>
      <c r="BK197" s="39"/>
    </row>
    <row r="198" spans="2:63" x14ac:dyDescent="0.2">
      <c r="B198" s="38"/>
      <c r="AY198" s="39"/>
      <c r="AZ198" s="39"/>
      <c r="BA198" s="39"/>
      <c r="BK198" s="39"/>
    </row>
    <row r="199" spans="2:63" x14ac:dyDescent="0.2">
      <c r="B199" s="38"/>
      <c r="AY199" s="39"/>
      <c r="AZ199" s="39"/>
      <c r="BA199" s="39"/>
      <c r="BK199" s="39"/>
    </row>
    <row r="200" spans="2:63" x14ac:dyDescent="0.2">
      <c r="B200" s="38"/>
      <c r="AY200" s="39"/>
      <c r="AZ200" s="39"/>
      <c r="BA200" s="39"/>
      <c r="BK200" s="39"/>
    </row>
    <row r="201" spans="2:63" x14ac:dyDescent="0.2">
      <c r="B201" s="38"/>
      <c r="AY201" s="39"/>
      <c r="AZ201" s="39"/>
      <c r="BA201" s="39"/>
      <c r="BK201" s="39"/>
    </row>
    <row r="202" spans="2:63" x14ac:dyDescent="0.2">
      <c r="B202" s="38"/>
      <c r="AY202" s="39"/>
      <c r="AZ202" s="39"/>
      <c r="BA202" s="39"/>
      <c r="BK202" s="39"/>
    </row>
    <row r="203" spans="2:63" x14ac:dyDescent="0.2">
      <c r="B203" s="38"/>
      <c r="AY203" s="39"/>
      <c r="AZ203" s="39"/>
      <c r="BA203" s="39"/>
      <c r="BK203" s="39"/>
    </row>
    <row r="204" spans="2:63" x14ac:dyDescent="0.2">
      <c r="B204" s="38"/>
      <c r="AY204" s="39"/>
      <c r="AZ204" s="39"/>
      <c r="BA204" s="39"/>
      <c r="BK204" s="39"/>
    </row>
    <row r="205" spans="2:63" x14ac:dyDescent="0.2">
      <c r="B205" s="38"/>
      <c r="AY205" s="39"/>
      <c r="AZ205" s="39"/>
      <c r="BA205" s="39"/>
      <c r="BK205" s="39"/>
    </row>
    <row r="206" spans="2:63" x14ac:dyDescent="0.2">
      <c r="B206" s="38"/>
      <c r="AY206" s="39"/>
      <c r="AZ206" s="39"/>
      <c r="BA206" s="39"/>
      <c r="BK206" s="39"/>
    </row>
    <row r="207" spans="2:63" x14ac:dyDescent="0.2">
      <c r="B207" s="38"/>
      <c r="AY207" s="39"/>
      <c r="AZ207" s="39"/>
      <c r="BA207" s="39"/>
      <c r="BK207" s="39"/>
    </row>
    <row r="208" spans="2:63" x14ac:dyDescent="0.2">
      <c r="B208" s="38"/>
      <c r="AY208" s="39"/>
      <c r="AZ208" s="39"/>
      <c r="BA208" s="39"/>
      <c r="BK208" s="39"/>
    </row>
    <row r="209" spans="2:63" x14ac:dyDescent="0.2">
      <c r="B209" s="38"/>
      <c r="AY209" s="39"/>
      <c r="AZ209" s="39"/>
      <c r="BA209" s="39"/>
      <c r="BK209" s="39"/>
    </row>
    <row r="210" spans="2:63" x14ac:dyDescent="0.2">
      <c r="B210" s="38"/>
      <c r="AY210" s="39"/>
      <c r="AZ210" s="39"/>
      <c r="BA210" s="39"/>
      <c r="BK210" s="39"/>
    </row>
    <row r="211" spans="2:63" x14ac:dyDescent="0.2">
      <c r="B211" s="38"/>
      <c r="AY211" s="39"/>
      <c r="AZ211" s="39"/>
      <c r="BA211" s="39"/>
      <c r="BK211" s="39"/>
    </row>
    <row r="212" spans="2:63" x14ac:dyDescent="0.2">
      <c r="B212" s="38"/>
      <c r="AY212" s="39"/>
      <c r="AZ212" s="39"/>
      <c r="BA212" s="39"/>
      <c r="BK212" s="39"/>
    </row>
    <row r="213" spans="2:63" x14ac:dyDescent="0.2">
      <c r="B213" s="38"/>
      <c r="AY213" s="39"/>
      <c r="AZ213" s="39"/>
      <c r="BA213" s="39"/>
      <c r="BK213" s="39"/>
    </row>
    <row r="214" spans="2:63" x14ac:dyDescent="0.2">
      <c r="B214" s="38"/>
      <c r="AY214" s="39"/>
      <c r="AZ214" s="39"/>
      <c r="BA214" s="39"/>
      <c r="BK214" s="39"/>
    </row>
    <row r="215" spans="2:63" x14ac:dyDescent="0.2">
      <c r="B215" s="38"/>
      <c r="AY215" s="39"/>
      <c r="AZ215" s="39"/>
      <c r="BA215" s="39"/>
      <c r="BK215" s="39"/>
    </row>
    <row r="216" spans="2:63" x14ac:dyDescent="0.2">
      <c r="B216" s="38"/>
      <c r="AY216" s="39"/>
      <c r="AZ216" s="39"/>
      <c r="BA216" s="39"/>
      <c r="BK216" s="39"/>
    </row>
    <row r="217" spans="2:63" x14ac:dyDescent="0.2">
      <c r="B217" s="38"/>
      <c r="AY217" s="39"/>
      <c r="AZ217" s="39"/>
      <c r="BA217" s="39"/>
      <c r="BK217" s="39"/>
    </row>
    <row r="218" spans="2:63" x14ac:dyDescent="0.2">
      <c r="B218" s="38"/>
      <c r="AY218" s="39"/>
      <c r="AZ218" s="39"/>
      <c r="BA218" s="39"/>
      <c r="BK218" s="39"/>
    </row>
    <row r="219" spans="2:63" x14ac:dyDescent="0.2">
      <c r="B219" s="38"/>
      <c r="AY219" s="39"/>
      <c r="AZ219" s="39"/>
      <c r="BA219" s="39"/>
      <c r="BK219" s="39"/>
    </row>
    <row r="220" spans="2:63" x14ac:dyDescent="0.2">
      <c r="B220" s="38"/>
      <c r="AY220" s="39"/>
      <c r="AZ220" s="39"/>
      <c r="BA220" s="39"/>
      <c r="BK220" s="39"/>
    </row>
    <row r="221" spans="2:63" x14ac:dyDescent="0.2">
      <c r="B221" s="38"/>
      <c r="AY221" s="39"/>
      <c r="AZ221" s="39"/>
      <c r="BA221" s="39"/>
      <c r="BK221" s="39"/>
    </row>
    <row r="222" spans="2:63" x14ac:dyDescent="0.2">
      <c r="B222" s="38"/>
      <c r="AY222" s="39"/>
      <c r="AZ222" s="39"/>
      <c r="BA222" s="39"/>
      <c r="BK222" s="39"/>
    </row>
    <row r="223" spans="2:63" x14ac:dyDescent="0.2">
      <c r="B223" s="38"/>
      <c r="AY223" s="39"/>
      <c r="AZ223" s="39"/>
      <c r="BA223" s="39"/>
      <c r="BK223" s="39"/>
    </row>
    <row r="224" spans="2:63" x14ac:dyDescent="0.2">
      <c r="B224" s="38"/>
      <c r="AY224" s="39"/>
      <c r="AZ224" s="39"/>
      <c r="BA224" s="39"/>
      <c r="BK224" s="39"/>
    </row>
    <row r="225" spans="2:63" x14ac:dyDescent="0.2">
      <c r="B225" s="38"/>
      <c r="AY225" s="39"/>
      <c r="AZ225" s="39"/>
      <c r="BA225" s="39"/>
      <c r="BK225" s="39"/>
    </row>
    <row r="226" spans="2:63" x14ac:dyDescent="0.2">
      <c r="B226" s="38"/>
      <c r="AY226" s="39"/>
      <c r="AZ226" s="39"/>
      <c r="BA226" s="39"/>
      <c r="BK226" s="39"/>
    </row>
    <row r="227" spans="2:63" x14ac:dyDescent="0.2">
      <c r="B227" s="38"/>
      <c r="AY227" s="39"/>
      <c r="AZ227" s="39"/>
      <c r="BA227" s="39"/>
      <c r="BK227" s="39"/>
    </row>
    <row r="228" spans="2:63" x14ac:dyDescent="0.2">
      <c r="B228" s="38"/>
      <c r="AY228" s="39"/>
      <c r="AZ228" s="39"/>
      <c r="BA228" s="39"/>
      <c r="BK228" s="39"/>
    </row>
    <row r="229" spans="2:63" x14ac:dyDescent="0.2">
      <c r="B229" s="38"/>
      <c r="AY229" s="39"/>
      <c r="AZ229" s="39"/>
      <c r="BA229" s="39"/>
      <c r="BK229" s="39"/>
    </row>
    <row r="230" spans="2:63" x14ac:dyDescent="0.2">
      <c r="B230" s="38"/>
      <c r="AY230" s="39"/>
      <c r="AZ230" s="39"/>
      <c r="BA230" s="39"/>
      <c r="BK230" s="39"/>
    </row>
    <row r="231" spans="2:63" x14ac:dyDescent="0.2">
      <c r="B231" s="38"/>
      <c r="AY231" s="39"/>
      <c r="AZ231" s="39"/>
      <c r="BA231" s="39"/>
      <c r="BK231" s="39"/>
    </row>
    <row r="232" spans="2:63" x14ac:dyDescent="0.2">
      <c r="B232" s="38"/>
      <c r="AY232" s="39"/>
      <c r="AZ232" s="39"/>
      <c r="BA232" s="39"/>
      <c r="BK232" s="39"/>
    </row>
    <row r="233" spans="2:63" x14ac:dyDescent="0.2">
      <c r="B233" s="38"/>
      <c r="AY233" s="39"/>
      <c r="AZ233" s="39"/>
      <c r="BA233" s="39"/>
      <c r="BK233" s="39"/>
    </row>
    <row r="234" spans="2:63" x14ac:dyDescent="0.2">
      <c r="B234" s="38"/>
      <c r="AY234" s="39"/>
      <c r="AZ234" s="39"/>
      <c r="BA234" s="39"/>
      <c r="BK234" s="39"/>
    </row>
    <row r="235" spans="2:63" x14ac:dyDescent="0.2">
      <c r="B235" s="38"/>
      <c r="AY235" s="39"/>
      <c r="AZ235" s="39"/>
      <c r="BA235" s="39"/>
      <c r="BK235" s="39"/>
    </row>
    <row r="236" spans="2:63" x14ac:dyDescent="0.2">
      <c r="B236" s="38"/>
      <c r="AY236" s="39"/>
      <c r="AZ236" s="39"/>
      <c r="BA236" s="39"/>
      <c r="BK236" s="39"/>
    </row>
    <row r="237" spans="2:63" x14ac:dyDescent="0.2">
      <c r="B237" s="38"/>
      <c r="AY237" s="39"/>
      <c r="AZ237" s="39"/>
      <c r="BA237" s="39"/>
      <c r="BK237" s="39"/>
    </row>
    <row r="238" spans="2:63" x14ac:dyDescent="0.2">
      <c r="B238" s="38"/>
      <c r="AY238" s="39"/>
      <c r="AZ238" s="39"/>
      <c r="BA238" s="39"/>
      <c r="BK238" s="39"/>
    </row>
    <row r="239" spans="2:63" x14ac:dyDescent="0.2">
      <c r="B239" s="38"/>
      <c r="AY239" s="39"/>
      <c r="AZ239" s="39"/>
      <c r="BA239" s="39"/>
      <c r="BK239" s="39"/>
    </row>
    <row r="240" spans="2:63" x14ac:dyDescent="0.2">
      <c r="B240" s="38"/>
      <c r="AY240" s="39"/>
      <c r="AZ240" s="39"/>
      <c r="BA240" s="39"/>
      <c r="BK240" s="39"/>
    </row>
    <row r="241" spans="2:63" x14ac:dyDescent="0.2">
      <c r="B241" s="38"/>
      <c r="AY241" s="39"/>
      <c r="AZ241" s="39"/>
      <c r="BA241" s="39"/>
      <c r="BK241" s="39"/>
    </row>
    <row r="242" spans="2:63" x14ac:dyDescent="0.2">
      <c r="B242" s="38"/>
      <c r="AY242" s="39"/>
      <c r="AZ242" s="39"/>
      <c r="BA242" s="39"/>
      <c r="BK242" s="39"/>
    </row>
    <row r="243" spans="2:63" x14ac:dyDescent="0.2">
      <c r="B243" s="38"/>
      <c r="AY243" s="39"/>
      <c r="AZ243" s="39"/>
      <c r="BA243" s="39"/>
      <c r="BK243" s="39"/>
    </row>
    <row r="244" spans="2:63" x14ac:dyDescent="0.2">
      <c r="B244" s="38"/>
      <c r="AY244" s="39"/>
      <c r="AZ244" s="39"/>
      <c r="BA244" s="39"/>
      <c r="BK244" s="39"/>
    </row>
    <row r="245" spans="2:63" x14ac:dyDescent="0.2">
      <c r="B245" s="38"/>
      <c r="AY245" s="39"/>
      <c r="AZ245" s="39"/>
      <c r="BA245" s="39"/>
      <c r="BK245" s="39"/>
    </row>
    <row r="246" spans="2:63" x14ac:dyDescent="0.2">
      <c r="B246" s="38"/>
      <c r="AY246" s="39"/>
      <c r="AZ246" s="39"/>
      <c r="BA246" s="39"/>
      <c r="BK246" s="39"/>
    </row>
    <row r="247" spans="2:63" x14ac:dyDescent="0.2">
      <c r="B247" s="38"/>
      <c r="AY247" s="39"/>
      <c r="AZ247" s="39"/>
      <c r="BA247" s="39"/>
      <c r="BK247" s="39"/>
    </row>
    <row r="248" spans="2:63" x14ac:dyDescent="0.2">
      <c r="B248" s="38"/>
      <c r="AY248" s="39"/>
      <c r="AZ248" s="39"/>
      <c r="BA248" s="39"/>
      <c r="BK248" s="39"/>
    </row>
    <row r="249" spans="2:63" x14ac:dyDescent="0.2">
      <c r="B249" s="38"/>
      <c r="AY249" s="39"/>
      <c r="AZ249" s="39"/>
      <c r="BA249" s="39"/>
      <c r="BK249" s="39"/>
    </row>
    <row r="250" spans="2:63" x14ac:dyDescent="0.2">
      <c r="B250" s="38"/>
      <c r="AY250" s="39"/>
      <c r="AZ250" s="39"/>
      <c r="BA250" s="39"/>
      <c r="BK250" s="39"/>
    </row>
    <row r="251" spans="2:63" x14ac:dyDescent="0.2">
      <c r="B251" s="38"/>
      <c r="AY251" s="39"/>
      <c r="AZ251" s="39"/>
      <c r="BA251" s="39"/>
      <c r="BK251" s="39"/>
    </row>
    <row r="252" spans="2:63" x14ac:dyDescent="0.2">
      <c r="B252" s="38"/>
      <c r="AY252" s="39"/>
      <c r="AZ252" s="39"/>
      <c r="BA252" s="39"/>
      <c r="BK252" s="39"/>
    </row>
    <row r="253" spans="2:63" x14ac:dyDescent="0.2">
      <c r="B253" s="38"/>
      <c r="AY253" s="39"/>
      <c r="AZ253" s="39"/>
      <c r="BA253" s="39"/>
      <c r="BK253" s="39"/>
    </row>
    <row r="254" spans="2:63" x14ac:dyDescent="0.2">
      <c r="B254" s="38"/>
      <c r="AY254" s="39"/>
      <c r="AZ254" s="39"/>
      <c r="BA254" s="39"/>
      <c r="BK254" s="39"/>
    </row>
    <row r="255" spans="2:63" x14ac:dyDescent="0.2">
      <c r="B255" s="38"/>
      <c r="AY255" s="39"/>
      <c r="AZ255" s="39"/>
      <c r="BA255" s="39"/>
      <c r="BK255" s="39"/>
    </row>
    <row r="256" spans="2:63" x14ac:dyDescent="0.2">
      <c r="B256" s="38"/>
      <c r="AY256" s="39"/>
      <c r="AZ256" s="39"/>
      <c r="BA256" s="39"/>
      <c r="BK256" s="39"/>
    </row>
    <row r="257" spans="2:63" x14ac:dyDescent="0.2">
      <c r="B257" s="38"/>
      <c r="AY257" s="39"/>
      <c r="AZ257" s="39"/>
      <c r="BA257" s="39"/>
      <c r="BK257" s="39"/>
    </row>
    <row r="258" spans="2:63" x14ac:dyDescent="0.2">
      <c r="B258" s="38"/>
      <c r="AY258" s="39"/>
      <c r="AZ258" s="39"/>
      <c r="BA258" s="39"/>
      <c r="BK258" s="39"/>
    </row>
    <row r="259" spans="2:63" x14ac:dyDescent="0.2">
      <c r="B259" s="38"/>
      <c r="AY259" s="39"/>
      <c r="AZ259" s="39"/>
      <c r="BA259" s="39"/>
      <c r="BK259" s="39"/>
    </row>
    <row r="260" spans="2:63" x14ac:dyDescent="0.2">
      <c r="B260" s="38"/>
      <c r="AY260" s="39"/>
      <c r="AZ260" s="39"/>
      <c r="BA260" s="39"/>
      <c r="BK260" s="39"/>
    </row>
    <row r="261" spans="2:63" x14ac:dyDescent="0.2">
      <c r="B261" s="38"/>
      <c r="AY261" s="39"/>
      <c r="AZ261" s="39"/>
      <c r="BA261" s="39"/>
      <c r="BK261" s="39"/>
    </row>
    <row r="262" spans="2:63" x14ac:dyDescent="0.2">
      <c r="B262" s="38"/>
      <c r="AY262" s="39"/>
      <c r="AZ262" s="39"/>
      <c r="BA262" s="39"/>
      <c r="BK262" s="39"/>
    </row>
    <row r="263" spans="2:63" x14ac:dyDescent="0.2">
      <c r="B263" s="38"/>
      <c r="AY263" s="39"/>
      <c r="AZ263" s="39"/>
      <c r="BA263" s="39"/>
      <c r="BK263" s="39"/>
    </row>
    <row r="264" spans="2:63" x14ac:dyDescent="0.2">
      <c r="B264" s="38"/>
      <c r="AY264" s="39"/>
      <c r="AZ264" s="39"/>
      <c r="BA264" s="39"/>
      <c r="BK264" s="39"/>
    </row>
    <row r="265" spans="2:63" x14ac:dyDescent="0.2">
      <c r="B265" s="38"/>
      <c r="AY265" s="39"/>
      <c r="AZ265" s="39"/>
      <c r="BA265" s="39"/>
      <c r="BK265" s="39"/>
    </row>
    <row r="266" spans="2:63" x14ac:dyDescent="0.2">
      <c r="B266" s="38"/>
      <c r="AY266" s="39"/>
      <c r="AZ266" s="39"/>
      <c r="BA266" s="39"/>
      <c r="BK266" s="39"/>
    </row>
    <row r="267" spans="2:63" x14ac:dyDescent="0.2">
      <c r="B267" s="38"/>
      <c r="AY267" s="39"/>
      <c r="AZ267" s="39"/>
      <c r="BA267" s="39"/>
      <c r="BK267" s="39"/>
    </row>
    <row r="268" spans="2:63" x14ac:dyDescent="0.2">
      <c r="B268" s="38"/>
      <c r="AY268" s="39"/>
      <c r="AZ268" s="39"/>
      <c r="BA268" s="39"/>
      <c r="BK268" s="39"/>
    </row>
    <row r="269" spans="2:63" x14ac:dyDescent="0.2">
      <c r="B269" s="38"/>
      <c r="AY269" s="39"/>
      <c r="AZ269" s="39"/>
      <c r="BA269" s="39"/>
      <c r="BK269" s="39"/>
    </row>
    <row r="270" spans="2:63" x14ac:dyDescent="0.2">
      <c r="B270" s="38"/>
      <c r="AY270" s="39"/>
      <c r="AZ270" s="39"/>
      <c r="BA270" s="39"/>
      <c r="BK270" s="39"/>
    </row>
    <row r="271" spans="2:63" x14ac:dyDescent="0.2">
      <c r="B271" s="38"/>
      <c r="AY271" s="39"/>
      <c r="AZ271" s="39"/>
      <c r="BA271" s="39"/>
      <c r="BK271" s="39"/>
    </row>
    <row r="272" spans="2:63" x14ac:dyDescent="0.2">
      <c r="B272" s="38"/>
      <c r="AY272" s="39"/>
      <c r="AZ272" s="39"/>
      <c r="BA272" s="39"/>
      <c r="BK272" s="39"/>
    </row>
    <row r="273" spans="2:63" x14ac:dyDescent="0.2">
      <c r="B273" s="38"/>
      <c r="AY273" s="39"/>
      <c r="AZ273" s="39"/>
      <c r="BA273" s="39"/>
      <c r="BK273" s="39"/>
    </row>
    <row r="274" spans="2:63" x14ac:dyDescent="0.2">
      <c r="B274" s="38"/>
      <c r="AY274" s="39"/>
      <c r="AZ274" s="39"/>
      <c r="BA274" s="39"/>
      <c r="BK274" s="39"/>
    </row>
    <row r="275" spans="2:63" x14ac:dyDescent="0.2">
      <c r="B275" s="38"/>
      <c r="AY275" s="39"/>
      <c r="AZ275" s="39"/>
      <c r="BA275" s="39"/>
      <c r="BK275" s="39"/>
    </row>
    <row r="276" spans="2:63" x14ac:dyDescent="0.2">
      <c r="B276" s="38"/>
      <c r="AY276" s="39"/>
      <c r="AZ276" s="39"/>
      <c r="BA276" s="39"/>
      <c r="BK276" s="39"/>
    </row>
    <row r="277" spans="2:63" x14ac:dyDescent="0.2">
      <c r="B277" s="38"/>
      <c r="AY277" s="39"/>
      <c r="AZ277" s="39"/>
      <c r="BA277" s="39"/>
      <c r="BK277" s="39"/>
    </row>
    <row r="278" spans="2:63" x14ac:dyDescent="0.2">
      <c r="B278" s="38"/>
      <c r="AY278" s="39"/>
      <c r="AZ278" s="39"/>
      <c r="BA278" s="39"/>
      <c r="BK278" s="39"/>
    </row>
    <row r="279" spans="2:63" x14ac:dyDescent="0.2">
      <c r="B279" s="38"/>
      <c r="AY279" s="39"/>
      <c r="AZ279" s="39"/>
      <c r="BA279" s="39"/>
      <c r="BK279" s="39"/>
    </row>
    <row r="280" spans="2:63" x14ac:dyDescent="0.2">
      <c r="B280" s="38"/>
      <c r="AY280" s="39"/>
      <c r="AZ280" s="39"/>
      <c r="BA280" s="39"/>
      <c r="BK280" s="39"/>
    </row>
    <row r="281" spans="2:63" x14ac:dyDescent="0.2">
      <c r="B281" s="38"/>
      <c r="AY281" s="39"/>
      <c r="AZ281" s="39"/>
      <c r="BA281" s="39"/>
      <c r="BK281" s="39"/>
    </row>
    <row r="282" spans="2:63" x14ac:dyDescent="0.2">
      <c r="B282" s="38"/>
      <c r="AY282" s="39"/>
      <c r="AZ282" s="39"/>
      <c r="BA282" s="39"/>
      <c r="BK282" s="39"/>
    </row>
    <row r="283" spans="2:63" x14ac:dyDescent="0.2">
      <c r="B283" s="38"/>
      <c r="AY283" s="39"/>
      <c r="AZ283" s="39"/>
      <c r="BA283" s="39"/>
      <c r="BK283" s="39"/>
    </row>
    <row r="284" spans="2:63" x14ac:dyDescent="0.2">
      <c r="B284" s="38"/>
      <c r="AY284" s="39"/>
      <c r="AZ284" s="39"/>
      <c r="BA284" s="39"/>
      <c r="BK284" s="39"/>
    </row>
    <row r="285" spans="2:63" x14ac:dyDescent="0.2">
      <c r="B285" s="38"/>
      <c r="AY285" s="39"/>
      <c r="AZ285" s="39"/>
      <c r="BA285" s="39"/>
      <c r="BK285" s="39"/>
    </row>
    <row r="286" spans="2:63" x14ac:dyDescent="0.2">
      <c r="B286" s="38"/>
      <c r="AY286" s="39"/>
      <c r="AZ286" s="39"/>
      <c r="BA286" s="39"/>
      <c r="BK286" s="39"/>
    </row>
    <row r="287" spans="2:63" x14ac:dyDescent="0.2">
      <c r="B287" s="38"/>
      <c r="AY287" s="39"/>
      <c r="AZ287" s="39"/>
      <c r="BA287" s="39"/>
      <c r="BK287" s="39"/>
    </row>
    <row r="288" spans="2:63" x14ac:dyDescent="0.2">
      <c r="B288" s="38"/>
      <c r="AY288" s="39"/>
      <c r="AZ288" s="39"/>
      <c r="BA288" s="39"/>
      <c r="BK288" s="39"/>
    </row>
    <row r="289" spans="2:63" x14ac:dyDescent="0.2">
      <c r="B289" s="38"/>
      <c r="AY289" s="39"/>
      <c r="AZ289" s="39"/>
      <c r="BA289" s="39"/>
      <c r="BK289" s="39"/>
    </row>
    <row r="290" spans="2:63" x14ac:dyDescent="0.2">
      <c r="B290" s="38"/>
      <c r="AY290" s="39"/>
      <c r="AZ290" s="39"/>
      <c r="BA290" s="39"/>
      <c r="BK290" s="39"/>
    </row>
    <row r="291" spans="2:63" x14ac:dyDescent="0.2">
      <c r="B291" s="38"/>
      <c r="AY291" s="39"/>
      <c r="AZ291" s="39"/>
      <c r="BA291" s="39"/>
      <c r="BK291" s="39"/>
    </row>
    <row r="292" spans="2:63" x14ac:dyDescent="0.2">
      <c r="B292" s="38"/>
      <c r="AY292" s="39"/>
      <c r="AZ292" s="39"/>
      <c r="BA292" s="39"/>
      <c r="BK292" s="39"/>
    </row>
    <row r="293" spans="2:63" x14ac:dyDescent="0.2">
      <c r="B293" s="38"/>
      <c r="AY293" s="39"/>
      <c r="AZ293" s="39"/>
      <c r="BA293" s="39"/>
      <c r="BK293" s="39"/>
    </row>
    <row r="294" spans="2:63" x14ac:dyDescent="0.2">
      <c r="B294" s="38"/>
      <c r="AY294" s="39"/>
      <c r="AZ294" s="39"/>
      <c r="BA294" s="39"/>
      <c r="BK294" s="39"/>
    </row>
    <row r="295" spans="2:63" x14ac:dyDescent="0.2">
      <c r="B295" s="38"/>
      <c r="AY295" s="39"/>
      <c r="AZ295" s="39"/>
      <c r="BA295" s="39"/>
      <c r="BK295" s="39"/>
    </row>
    <row r="296" spans="2:63" x14ac:dyDescent="0.2">
      <c r="B296" s="38"/>
      <c r="AY296" s="39"/>
      <c r="AZ296" s="39"/>
      <c r="BA296" s="39"/>
      <c r="BK296" s="39"/>
    </row>
    <row r="297" spans="2:63" x14ac:dyDescent="0.2">
      <c r="B297" s="38"/>
      <c r="AY297" s="39"/>
      <c r="AZ297" s="39"/>
      <c r="BA297" s="39"/>
      <c r="BK297" s="39"/>
    </row>
    <row r="298" spans="2:63" x14ac:dyDescent="0.2">
      <c r="B298" s="38"/>
      <c r="AY298" s="39"/>
      <c r="AZ298" s="39"/>
      <c r="BA298" s="39"/>
      <c r="BK298" s="39"/>
    </row>
    <row r="299" spans="2:63" x14ac:dyDescent="0.2">
      <c r="B299" s="38"/>
      <c r="AY299" s="39"/>
      <c r="AZ299" s="39"/>
      <c r="BA299" s="39"/>
      <c r="BK299" s="39"/>
    </row>
    <row r="300" spans="2:63" x14ac:dyDescent="0.2">
      <c r="B300" s="38"/>
      <c r="AY300" s="39"/>
      <c r="AZ300" s="39"/>
      <c r="BA300" s="39"/>
      <c r="BK300" s="39"/>
    </row>
    <row r="301" spans="2:63" x14ac:dyDescent="0.2">
      <c r="B301" s="38"/>
      <c r="AY301" s="39"/>
      <c r="AZ301" s="39"/>
      <c r="BA301" s="39"/>
      <c r="BK301" s="39"/>
    </row>
    <row r="302" spans="2:63" x14ac:dyDescent="0.2">
      <c r="B302" s="38"/>
      <c r="AY302" s="39"/>
      <c r="AZ302" s="39"/>
      <c r="BA302" s="39"/>
      <c r="BK302" s="39"/>
    </row>
    <row r="303" spans="2:63" x14ac:dyDescent="0.2">
      <c r="B303" s="38"/>
      <c r="AY303" s="39"/>
      <c r="AZ303" s="39"/>
      <c r="BA303" s="39"/>
      <c r="BK303" s="39"/>
    </row>
    <row r="304" spans="2:63" x14ac:dyDescent="0.2">
      <c r="B304" s="38"/>
      <c r="AY304" s="39"/>
      <c r="AZ304" s="39"/>
      <c r="BA304" s="39"/>
      <c r="BK304" s="39"/>
    </row>
    <row r="305" spans="2:63" x14ac:dyDescent="0.2">
      <c r="B305" s="38"/>
      <c r="AY305" s="39"/>
      <c r="AZ305" s="39"/>
      <c r="BA305" s="39"/>
      <c r="BK305" s="39"/>
    </row>
    <row r="306" spans="2:63" x14ac:dyDescent="0.2">
      <c r="B306" s="38"/>
      <c r="AY306" s="39"/>
      <c r="AZ306" s="39"/>
      <c r="BA306" s="39"/>
      <c r="BK306" s="39"/>
    </row>
    <row r="307" spans="2:63" x14ac:dyDescent="0.2">
      <c r="B307" s="38"/>
      <c r="AY307" s="39"/>
      <c r="AZ307" s="39"/>
      <c r="BA307" s="39"/>
      <c r="BK307" s="39"/>
    </row>
    <row r="308" spans="2:63" x14ac:dyDescent="0.2">
      <c r="B308" s="38"/>
      <c r="AY308" s="39"/>
      <c r="AZ308" s="39"/>
      <c r="BA308" s="39"/>
      <c r="BK308" s="39"/>
    </row>
    <row r="309" spans="2:63" x14ac:dyDescent="0.2">
      <c r="B309" s="38"/>
      <c r="AY309" s="39"/>
      <c r="AZ309" s="39"/>
      <c r="BA309" s="39"/>
      <c r="BK309" s="39"/>
    </row>
    <row r="310" spans="2:63" x14ac:dyDescent="0.2">
      <c r="B310" s="38"/>
      <c r="AY310" s="39"/>
      <c r="AZ310" s="39"/>
      <c r="BA310" s="39"/>
      <c r="BK310" s="39"/>
    </row>
    <row r="311" spans="2:63" x14ac:dyDescent="0.2">
      <c r="B311" s="38"/>
      <c r="AY311" s="39"/>
      <c r="AZ311" s="39"/>
      <c r="BA311" s="39"/>
      <c r="BK311" s="39"/>
    </row>
    <row r="312" spans="2:63" x14ac:dyDescent="0.2">
      <c r="B312" s="38"/>
      <c r="AY312" s="39"/>
      <c r="AZ312" s="39"/>
      <c r="BA312" s="39"/>
      <c r="BK312" s="39"/>
    </row>
    <row r="313" spans="2:63" x14ac:dyDescent="0.2">
      <c r="B313" s="38"/>
      <c r="AY313" s="39"/>
      <c r="AZ313" s="39"/>
      <c r="BA313" s="39"/>
      <c r="BK313" s="39"/>
    </row>
    <row r="314" spans="2:63" x14ac:dyDescent="0.2">
      <c r="B314" s="38"/>
      <c r="AY314" s="39"/>
      <c r="AZ314" s="39"/>
      <c r="BA314" s="39"/>
      <c r="BK314" s="39"/>
    </row>
    <row r="315" spans="2:63" x14ac:dyDescent="0.2">
      <c r="B315" s="38"/>
      <c r="AY315" s="39"/>
      <c r="AZ315" s="39"/>
      <c r="BA315" s="39"/>
      <c r="BK315" s="39"/>
    </row>
    <row r="316" spans="2:63" x14ac:dyDescent="0.2">
      <c r="B316" s="38"/>
      <c r="AY316" s="39"/>
      <c r="AZ316" s="39"/>
      <c r="BA316" s="39"/>
      <c r="BK316" s="39"/>
    </row>
    <row r="317" spans="2:63" x14ac:dyDescent="0.2">
      <c r="B317" s="38"/>
      <c r="AY317" s="39"/>
      <c r="AZ317" s="39"/>
      <c r="BA317" s="39"/>
      <c r="BK317" s="39"/>
    </row>
    <row r="318" spans="2:63" x14ac:dyDescent="0.2">
      <c r="B318" s="38"/>
      <c r="AY318" s="39"/>
      <c r="AZ318" s="39"/>
      <c r="BA318" s="39"/>
      <c r="BK318" s="39"/>
    </row>
    <row r="319" spans="2:63" x14ac:dyDescent="0.2">
      <c r="B319" s="38"/>
      <c r="AY319" s="39"/>
      <c r="AZ319" s="39"/>
      <c r="BA319" s="39"/>
      <c r="BK319" s="39"/>
    </row>
    <row r="320" spans="2:63" x14ac:dyDescent="0.2">
      <c r="B320" s="38"/>
      <c r="AY320" s="39"/>
      <c r="AZ320" s="39"/>
      <c r="BA320" s="39"/>
      <c r="BK320" s="39"/>
    </row>
    <row r="321" spans="2:63" x14ac:dyDescent="0.2">
      <c r="B321" s="38"/>
      <c r="AY321" s="39"/>
      <c r="AZ321" s="39"/>
      <c r="BA321" s="39"/>
      <c r="BK321" s="39"/>
    </row>
    <row r="322" spans="2:63" x14ac:dyDescent="0.2">
      <c r="B322" s="38"/>
      <c r="AY322" s="39"/>
      <c r="AZ322" s="39"/>
      <c r="BA322" s="39"/>
      <c r="BK322" s="39"/>
    </row>
    <row r="323" spans="2:63" x14ac:dyDescent="0.2">
      <c r="B323" s="38"/>
      <c r="AY323" s="39"/>
      <c r="AZ323" s="39"/>
      <c r="BA323" s="39"/>
      <c r="BK323" s="39"/>
    </row>
    <row r="324" spans="2:63" x14ac:dyDescent="0.2">
      <c r="B324" s="38"/>
      <c r="AY324" s="39"/>
      <c r="AZ324" s="39"/>
      <c r="BA324" s="39"/>
      <c r="BK324" s="39"/>
    </row>
    <row r="325" spans="2:63" x14ac:dyDescent="0.2">
      <c r="B325" s="38"/>
      <c r="AY325" s="39"/>
      <c r="AZ325" s="39"/>
      <c r="BA325" s="39"/>
      <c r="BK325" s="39"/>
    </row>
    <row r="326" spans="2:63" x14ac:dyDescent="0.2">
      <c r="B326" s="38"/>
      <c r="AY326" s="39"/>
      <c r="AZ326" s="39"/>
      <c r="BA326" s="39"/>
      <c r="BK326" s="39"/>
    </row>
    <row r="327" spans="2:63" x14ac:dyDescent="0.2">
      <c r="B327" s="38"/>
      <c r="AY327" s="39"/>
      <c r="AZ327" s="39"/>
      <c r="BA327" s="39"/>
      <c r="BK327" s="39"/>
    </row>
    <row r="328" spans="2:63" x14ac:dyDescent="0.2">
      <c r="B328" s="38"/>
      <c r="AY328" s="39"/>
      <c r="AZ328" s="39"/>
      <c r="BA328" s="39"/>
      <c r="BK328" s="39"/>
    </row>
    <row r="329" spans="2:63" x14ac:dyDescent="0.2">
      <c r="B329" s="38"/>
      <c r="AY329" s="39"/>
      <c r="AZ329" s="39"/>
      <c r="BA329" s="39"/>
      <c r="BK329" s="39"/>
    </row>
    <row r="330" spans="2:63" x14ac:dyDescent="0.2">
      <c r="B330" s="38"/>
      <c r="AY330" s="39"/>
      <c r="AZ330" s="39"/>
      <c r="BA330" s="39"/>
      <c r="BK330" s="39"/>
    </row>
    <row r="331" spans="2:63" x14ac:dyDescent="0.2">
      <c r="B331" s="38"/>
      <c r="AY331" s="39"/>
      <c r="AZ331" s="39"/>
      <c r="BA331" s="39"/>
      <c r="BK331" s="39"/>
    </row>
    <row r="332" spans="2:63" x14ac:dyDescent="0.2">
      <c r="B332" s="38"/>
      <c r="AY332" s="39"/>
      <c r="AZ332" s="39"/>
      <c r="BA332" s="39"/>
      <c r="BK332" s="39"/>
    </row>
    <row r="333" spans="2:63" x14ac:dyDescent="0.2">
      <c r="B333" s="38"/>
      <c r="AY333" s="39"/>
      <c r="AZ333" s="39"/>
      <c r="BA333" s="39"/>
      <c r="BK333" s="39"/>
    </row>
    <row r="334" spans="2:63" x14ac:dyDescent="0.2">
      <c r="B334" s="38"/>
      <c r="AY334" s="39"/>
      <c r="AZ334" s="39"/>
      <c r="BA334" s="39"/>
      <c r="BK334" s="39"/>
    </row>
    <row r="335" spans="2:63" x14ac:dyDescent="0.2">
      <c r="B335" s="38"/>
      <c r="AY335" s="39"/>
      <c r="AZ335" s="39"/>
      <c r="BA335" s="39"/>
      <c r="BK335" s="39"/>
    </row>
    <row r="336" spans="2:63" x14ac:dyDescent="0.2">
      <c r="B336" s="38"/>
      <c r="AY336" s="39"/>
      <c r="AZ336" s="39"/>
      <c r="BA336" s="39"/>
      <c r="BK336" s="39"/>
    </row>
    <row r="337" spans="2:63" x14ac:dyDescent="0.2">
      <c r="B337" s="38"/>
      <c r="AY337" s="39"/>
      <c r="AZ337" s="39"/>
      <c r="BA337" s="39"/>
      <c r="BK337" s="39"/>
    </row>
    <row r="338" spans="2:63" x14ac:dyDescent="0.2">
      <c r="B338" s="38"/>
      <c r="AY338" s="39"/>
      <c r="AZ338" s="39"/>
      <c r="BA338" s="39"/>
      <c r="BK338" s="39"/>
    </row>
    <row r="339" spans="2:63" x14ac:dyDescent="0.2">
      <c r="B339" s="38"/>
      <c r="AY339" s="39"/>
      <c r="AZ339" s="39"/>
      <c r="BA339" s="39"/>
      <c r="BK339" s="39"/>
    </row>
    <row r="340" spans="2:63" x14ac:dyDescent="0.2">
      <c r="B340" s="38"/>
      <c r="AY340" s="39"/>
      <c r="AZ340" s="39"/>
      <c r="BA340" s="39"/>
      <c r="BK340" s="39"/>
    </row>
    <row r="341" spans="2:63" x14ac:dyDescent="0.2">
      <c r="B341" s="38"/>
      <c r="AY341" s="39"/>
      <c r="AZ341" s="39"/>
      <c r="BA341" s="39"/>
      <c r="BK341" s="39"/>
    </row>
    <row r="342" spans="2:63" x14ac:dyDescent="0.2">
      <c r="B342" s="38"/>
      <c r="AY342" s="39"/>
      <c r="AZ342" s="39"/>
      <c r="BA342" s="39"/>
      <c r="BK342" s="39"/>
    </row>
    <row r="343" spans="2:63" x14ac:dyDescent="0.2">
      <c r="B343" s="38"/>
      <c r="AY343" s="39"/>
      <c r="AZ343" s="39"/>
      <c r="BA343" s="39"/>
      <c r="BK343" s="39"/>
    </row>
    <row r="344" spans="2:63" x14ac:dyDescent="0.2">
      <c r="B344" s="38"/>
      <c r="AY344" s="39"/>
      <c r="AZ344" s="39"/>
      <c r="BA344" s="39"/>
      <c r="BK344" s="39"/>
    </row>
    <row r="345" spans="2:63" x14ac:dyDescent="0.2">
      <c r="B345" s="38"/>
      <c r="AY345" s="39"/>
      <c r="AZ345" s="39"/>
      <c r="BA345" s="39"/>
      <c r="BK345" s="39"/>
    </row>
    <row r="346" spans="2:63" x14ac:dyDescent="0.2">
      <c r="B346" s="38"/>
      <c r="AY346" s="39"/>
      <c r="AZ346" s="39"/>
      <c r="BA346" s="39"/>
      <c r="BK346" s="39"/>
    </row>
    <row r="347" spans="2:63" x14ac:dyDescent="0.2">
      <c r="B347" s="38"/>
      <c r="AY347" s="39"/>
      <c r="AZ347" s="39"/>
      <c r="BA347" s="39"/>
      <c r="BK347" s="39"/>
    </row>
    <row r="348" spans="2:63" x14ac:dyDescent="0.2">
      <c r="B348" s="38"/>
      <c r="AY348" s="39"/>
      <c r="AZ348" s="39"/>
      <c r="BA348" s="39"/>
      <c r="BK348" s="39"/>
    </row>
    <row r="349" spans="2:63" x14ac:dyDescent="0.2">
      <c r="B349" s="38"/>
      <c r="AY349" s="39"/>
      <c r="AZ349" s="39"/>
      <c r="BA349" s="39"/>
      <c r="BK349" s="39"/>
    </row>
    <row r="350" spans="2:63" x14ac:dyDescent="0.2">
      <c r="B350" s="38"/>
      <c r="AY350" s="39"/>
      <c r="AZ350" s="39"/>
      <c r="BA350" s="39"/>
      <c r="BK350" s="39"/>
    </row>
    <row r="351" spans="2:63" x14ac:dyDescent="0.2">
      <c r="B351" s="38"/>
      <c r="AY351" s="39"/>
      <c r="AZ351" s="39"/>
      <c r="BA351" s="39"/>
      <c r="BK351" s="39"/>
    </row>
    <row r="352" spans="2:63" x14ac:dyDescent="0.2">
      <c r="B352" s="38"/>
      <c r="AY352" s="39"/>
      <c r="AZ352" s="39"/>
      <c r="BA352" s="39"/>
      <c r="BK352" s="39"/>
    </row>
    <row r="353" spans="2:63" x14ac:dyDescent="0.2">
      <c r="B353" s="38"/>
      <c r="AY353" s="39"/>
      <c r="AZ353" s="39"/>
      <c r="BA353" s="39"/>
      <c r="BK353" s="39"/>
    </row>
    <row r="354" spans="2:63" x14ac:dyDescent="0.2">
      <c r="B354" s="38"/>
      <c r="AY354" s="39"/>
      <c r="AZ354" s="39"/>
      <c r="BA354" s="39"/>
      <c r="BK354" s="39"/>
    </row>
    <row r="355" spans="2:63" x14ac:dyDescent="0.2">
      <c r="B355" s="38"/>
      <c r="AY355" s="39"/>
      <c r="AZ355" s="39"/>
      <c r="BA355" s="39"/>
      <c r="BK355" s="39"/>
    </row>
    <row r="356" spans="2:63" x14ac:dyDescent="0.2">
      <c r="B356" s="38"/>
      <c r="AY356" s="39"/>
      <c r="AZ356" s="39"/>
      <c r="BA356" s="39"/>
      <c r="BK356" s="39"/>
    </row>
    <row r="357" spans="2:63" x14ac:dyDescent="0.2">
      <c r="B357" s="38"/>
      <c r="AY357" s="39"/>
      <c r="AZ357" s="39"/>
      <c r="BA357" s="39"/>
      <c r="BK357" s="39"/>
    </row>
    <row r="358" spans="2:63" x14ac:dyDescent="0.2">
      <c r="B358" s="38"/>
      <c r="AY358" s="39"/>
      <c r="AZ358" s="39"/>
      <c r="BA358" s="39"/>
      <c r="BK358" s="39"/>
    </row>
    <row r="359" spans="2:63" x14ac:dyDescent="0.2">
      <c r="B359" s="38"/>
      <c r="AY359" s="39"/>
      <c r="AZ359" s="39"/>
      <c r="BA359" s="39"/>
      <c r="BK359" s="39"/>
    </row>
    <row r="360" spans="2:63" x14ac:dyDescent="0.2">
      <c r="B360" s="38"/>
      <c r="AY360" s="39"/>
      <c r="AZ360" s="39"/>
      <c r="BA360" s="39"/>
      <c r="BK360" s="39"/>
    </row>
    <row r="361" spans="2:63" x14ac:dyDescent="0.2">
      <c r="B361" s="38"/>
      <c r="AY361" s="39"/>
      <c r="AZ361" s="39"/>
      <c r="BA361" s="39"/>
      <c r="BK361" s="39"/>
    </row>
    <row r="362" spans="2:63" x14ac:dyDescent="0.2">
      <c r="B362" s="38"/>
      <c r="AY362" s="39"/>
      <c r="AZ362" s="39"/>
      <c r="BA362" s="39"/>
      <c r="BK362" s="39"/>
    </row>
    <row r="363" spans="2:63" x14ac:dyDescent="0.2">
      <c r="B363" s="38"/>
      <c r="AY363" s="39"/>
      <c r="AZ363" s="39"/>
      <c r="BA363" s="39"/>
      <c r="BK363" s="39"/>
    </row>
    <row r="364" spans="2:63" x14ac:dyDescent="0.2">
      <c r="B364" s="38"/>
      <c r="AY364" s="39"/>
      <c r="AZ364" s="39"/>
      <c r="BA364" s="39"/>
      <c r="BK364" s="39"/>
    </row>
    <row r="365" spans="2:63" x14ac:dyDescent="0.2">
      <c r="B365" s="38"/>
      <c r="AY365" s="39"/>
      <c r="AZ365" s="39"/>
      <c r="BA365" s="39"/>
      <c r="BK365" s="39"/>
    </row>
    <row r="366" spans="2:63" x14ac:dyDescent="0.2">
      <c r="B366" s="38"/>
      <c r="AY366" s="39"/>
      <c r="AZ366" s="39"/>
      <c r="BA366" s="39"/>
      <c r="BK366" s="39"/>
    </row>
    <row r="367" spans="2:63" x14ac:dyDescent="0.2">
      <c r="B367" s="38"/>
      <c r="AY367" s="39"/>
      <c r="AZ367" s="39"/>
      <c r="BA367" s="39"/>
      <c r="BK367" s="39"/>
    </row>
    <row r="368" spans="2:63" x14ac:dyDescent="0.2">
      <c r="B368" s="38"/>
      <c r="AY368" s="39"/>
      <c r="AZ368" s="39"/>
      <c r="BA368" s="39"/>
      <c r="BK368" s="39"/>
    </row>
    <row r="369" spans="2:63" x14ac:dyDescent="0.2">
      <c r="B369" s="38"/>
      <c r="AY369" s="39"/>
      <c r="AZ369" s="39"/>
      <c r="BA369" s="39"/>
      <c r="BK369" s="39"/>
    </row>
    <row r="370" spans="2:63" x14ac:dyDescent="0.2">
      <c r="B370" s="38"/>
      <c r="AY370" s="39"/>
      <c r="AZ370" s="39"/>
      <c r="BA370" s="39"/>
      <c r="BK370" s="39"/>
    </row>
    <row r="371" spans="2:63" x14ac:dyDescent="0.2">
      <c r="B371" s="38"/>
      <c r="AY371" s="39"/>
      <c r="AZ371" s="39"/>
      <c r="BA371" s="39"/>
      <c r="BK371" s="39"/>
    </row>
    <row r="372" spans="2:63" x14ac:dyDescent="0.2">
      <c r="B372" s="38"/>
      <c r="AY372" s="39"/>
      <c r="AZ372" s="39"/>
      <c r="BA372" s="39"/>
      <c r="BK372" s="39"/>
    </row>
    <row r="373" spans="2:63" x14ac:dyDescent="0.2">
      <c r="B373" s="38"/>
      <c r="AY373" s="39"/>
      <c r="AZ373" s="39"/>
      <c r="BA373" s="39"/>
      <c r="BK373" s="39"/>
    </row>
    <row r="374" spans="2:63" x14ac:dyDescent="0.2">
      <c r="B374" s="38"/>
      <c r="AY374" s="39"/>
      <c r="AZ374" s="39"/>
      <c r="BA374" s="39"/>
      <c r="BK374" s="39"/>
    </row>
    <row r="375" spans="2:63" x14ac:dyDescent="0.2">
      <c r="B375" s="38"/>
      <c r="AY375" s="39"/>
      <c r="AZ375" s="39"/>
      <c r="BA375" s="39"/>
      <c r="BK375" s="39"/>
    </row>
    <row r="376" spans="2:63" x14ac:dyDescent="0.2">
      <c r="B376" s="38"/>
      <c r="AY376" s="39"/>
      <c r="AZ376" s="39"/>
      <c r="BA376" s="39"/>
      <c r="BK376" s="39"/>
    </row>
    <row r="377" spans="2:63" x14ac:dyDescent="0.2">
      <c r="B377" s="38"/>
      <c r="AY377" s="39"/>
      <c r="AZ377" s="39"/>
      <c r="BA377" s="39"/>
      <c r="BK377" s="39"/>
    </row>
    <row r="378" spans="2:63" x14ac:dyDescent="0.2">
      <c r="B378" s="38"/>
      <c r="AY378" s="39"/>
      <c r="AZ378" s="39"/>
      <c r="BA378" s="39"/>
      <c r="BK378" s="39"/>
    </row>
    <row r="379" spans="2:63" x14ac:dyDescent="0.2">
      <c r="B379" s="38"/>
      <c r="AY379" s="39"/>
      <c r="AZ379" s="39"/>
      <c r="BA379" s="39"/>
      <c r="BK379" s="39"/>
    </row>
    <row r="380" spans="2:63" x14ac:dyDescent="0.2">
      <c r="B380" s="38"/>
      <c r="AY380" s="39"/>
      <c r="AZ380" s="39"/>
      <c r="BA380" s="39"/>
      <c r="BK380" s="39"/>
    </row>
    <row r="381" spans="2:63" x14ac:dyDescent="0.2">
      <c r="B381" s="38"/>
      <c r="AY381" s="39"/>
      <c r="AZ381" s="39"/>
      <c r="BA381" s="39"/>
      <c r="BK381" s="39"/>
    </row>
    <row r="382" spans="2:63" x14ac:dyDescent="0.2">
      <c r="B382" s="38"/>
      <c r="AY382" s="39"/>
      <c r="AZ382" s="39"/>
      <c r="BA382" s="39"/>
      <c r="BK382" s="39"/>
    </row>
    <row r="383" spans="2:63" x14ac:dyDescent="0.2">
      <c r="B383" s="38"/>
      <c r="AY383" s="39"/>
      <c r="AZ383" s="39"/>
      <c r="BA383" s="39"/>
      <c r="BK383" s="39"/>
    </row>
    <row r="384" spans="2:63" x14ac:dyDescent="0.2">
      <c r="B384" s="38"/>
      <c r="AY384" s="39"/>
      <c r="AZ384" s="39"/>
      <c r="BA384" s="39"/>
      <c r="BK384" s="39"/>
    </row>
    <row r="385" spans="2:63" x14ac:dyDescent="0.2">
      <c r="B385" s="38"/>
      <c r="AY385" s="39"/>
      <c r="AZ385" s="39"/>
      <c r="BA385" s="39"/>
      <c r="BK385" s="39"/>
    </row>
    <row r="386" spans="2:63" x14ac:dyDescent="0.2">
      <c r="B386" s="38"/>
      <c r="AY386" s="39"/>
      <c r="AZ386" s="39"/>
      <c r="BA386" s="39"/>
      <c r="BK386" s="39"/>
    </row>
    <row r="387" spans="2:63" x14ac:dyDescent="0.2">
      <c r="B387" s="38"/>
      <c r="AY387" s="39"/>
      <c r="AZ387" s="39"/>
      <c r="BA387" s="39"/>
      <c r="BK387" s="39"/>
    </row>
    <row r="388" spans="2:63" x14ac:dyDescent="0.2">
      <c r="B388" s="38"/>
      <c r="AY388" s="39"/>
      <c r="AZ388" s="39"/>
      <c r="BA388" s="39"/>
      <c r="BK388" s="39"/>
    </row>
    <row r="389" spans="2:63" x14ac:dyDescent="0.2">
      <c r="B389" s="38"/>
      <c r="AY389" s="39"/>
      <c r="AZ389" s="39"/>
      <c r="BA389" s="39"/>
      <c r="BK389" s="39"/>
    </row>
    <row r="390" spans="2:63" x14ac:dyDescent="0.2">
      <c r="B390" s="38"/>
      <c r="AY390" s="39"/>
      <c r="AZ390" s="39"/>
      <c r="BA390" s="39"/>
      <c r="BK390" s="39"/>
    </row>
    <row r="391" spans="2:63" x14ac:dyDescent="0.2">
      <c r="B391" s="38"/>
      <c r="AY391" s="39"/>
      <c r="AZ391" s="39"/>
      <c r="BA391" s="39"/>
      <c r="BK391" s="39"/>
    </row>
    <row r="392" spans="2:63" x14ac:dyDescent="0.2">
      <c r="B392" s="38"/>
      <c r="AY392" s="39"/>
      <c r="AZ392" s="39"/>
      <c r="BA392" s="39"/>
      <c r="BK392" s="39"/>
    </row>
    <row r="393" spans="2:63" x14ac:dyDescent="0.2">
      <c r="B393" s="38"/>
      <c r="AY393" s="39"/>
      <c r="AZ393" s="39"/>
      <c r="BA393" s="39"/>
      <c r="BK393" s="39"/>
    </row>
    <row r="394" spans="2:63" x14ac:dyDescent="0.2">
      <c r="B394" s="38"/>
      <c r="AY394" s="39"/>
      <c r="AZ394" s="39"/>
      <c r="BA394" s="39"/>
      <c r="BK394" s="39"/>
    </row>
    <row r="395" spans="2:63" x14ac:dyDescent="0.2">
      <c r="B395" s="38"/>
      <c r="AY395" s="39"/>
      <c r="AZ395" s="39"/>
      <c r="BA395" s="39"/>
      <c r="BK395" s="39"/>
    </row>
    <row r="396" spans="2:63" x14ac:dyDescent="0.2">
      <c r="B396" s="38"/>
      <c r="AY396" s="39"/>
      <c r="AZ396" s="39"/>
      <c r="BA396" s="39"/>
      <c r="BK396" s="39"/>
    </row>
    <row r="397" spans="2:63" x14ac:dyDescent="0.2">
      <c r="B397" s="38"/>
      <c r="AY397" s="39"/>
      <c r="AZ397" s="39"/>
      <c r="BA397" s="39"/>
      <c r="BK397" s="39"/>
    </row>
    <row r="398" spans="2:63" x14ac:dyDescent="0.2">
      <c r="B398" s="38"/>
      <c r="AY398" s="39"/>
      <c r="AZ398" s="39"/>
      <c r="BA398" s="39"/>
      <c r="BK398" s="39"/>
    </row>
    <row r="399" spans="2:63" x14ac:dyDescent="0.2">
      <c r="B399" s="38"/>
      <c r="AY399" s="39"/>
      <c r="AZ399" s="39"/>
      <c r="BA399" s="39"/>
      <c r="BK399" s="39"/>
    </row>
    <row r="400" spans="2:63" x14ac:dyDescent="0.2">
      <c r="B400" s="38"/>
      <c r="AY400" s="39"/>
      <c r="AZ400" s="39"/>
      <c r="BA400" s="39"/>
      <c r="BK400" s="39"/>
    </row>
    <row r="401" spans="2:63" x14ac:dyDescent="0.2">
      <c r="B401" s="38"/>
      <c r="AY401" s="39"/>
      <c r="AZ401" s="39"/>
      <c r="BA401" s="39"/>
      <c r="BK401" s="39"/>
    </row>
    <row r="402" spans="2:63" x14ac:dyDescent="0.2">
      <c r="B402" s="38"/>
      <c r="AY402" s="39"/>
      <c r="AZ402" s="39"/>
      <c r="BA402" s="39"/>
      <c r="BK402" s="39"/>
    </row>
    <row r="403" spans="2:63" x14ac:dyDescent="0.2">
      <c r="B403" s="38"/>
      <c r="AY403" s="39"/>
      <c r="AZ403" s="39"/>
      <c r="BA403" s="39"/>
      <c r="BK403" s="39"/>
    </row>
    <row r="404" spans="2:63" x14ac:dyDescent="0.2">
      <c r="B404" s="38"/>
      <c r="AY404" s="39"/>
      <c r="AZ404" s="39"/>
      <c r="BA404" s="39"/>
      <c r="BK404" s="39"/>
    </row>
    <row r="405" spans="2:63" x14ac:dyDescent="0.2">
      <c r="B405" s="38"/>
      <c r="AY405" s="39"/>
      <c r="AZ405" s="39"/>
      <c r="BA405" s="39"/>
      <c r="BK405" s="39"/>
    </row>
    <row r="406" spans="2:63" x14ac:dyDescent="0.2">
      <c r="B406" s="38"/>
      <c r="AY406" s="39"/>
      <c r="AZ406" s="39"/>
      <c r="BA406" s="39"/>
      <c r="BK406" s="39"/>
    </row>
    <row r="407" spans="2:63" x14ac:dyDescent="0.2">
      <c r="B407" s="38"/>
      <c r="AY407" s="39"/>
      <c r="AZ407" s="39"/>
      <c r="BA407" s="39"/>
      <c r="BK407" s="39"/>
    </row>
    <row r="408" spans="2:63" x14ac:dyDescent="0.2">
      <c r="B408" s="38"/>
      <c r="AY408" s="39"/>
      <c r="AZ408" s="39"/>
      <c r="BA408" s="39"/>
      <c r="BK408" s="39"/>
    </row>
    <row r="409" spans="2:63" x14ac:dyDescent="0.2">
      <c r="B409" s="38"/>
      <c r="AY409" s="39"/>
      <c r="AZ409" s="39"/>
      <c r="BA409" s="39"/>
      <c r="BK409" s="39"/>
    </row>
    <row r="410" spans="2:63" x14ac:dyDescent="0.2">
      <c r="B410" s="38"/>
      <c r="AY410" s="39"/>
      <c r="AZ410" s="39"/>
      <c r="BA410" s="39"/>
      <c r="BK410" s="39"/>
    </row>
    <row r="411" spans="2:63" x14ac:dyDescent="0.2">
      <c r="B411" s="38"/>
      <c r="AY411" s="39"/>
      <c r="AZ411" s="39"/>
      <c r="BA411" s="39"/>
      <c r="BK411" s="39"/>
    </row>
    <row r="412" spans="2:63" x14ac:dyDescent="0.2">
      <c r="B412" s="38"/>
      <c r="AY412" s="39"/>
      <c r="AZ412" s="39"/>
      <c r="BA412" s="39"/>
      <c r="BK412" s="39"/>
    </row>
    <row r="413" spans="2:63" x14ac:dyDescent="0.2">
      <c r="B413" s="38"/>
      <c r="AY413" s="39"/>
      <c r="AZ413" s="39"/>
      <c r="BA413" s="39"/>
      <c r="BK413" s="39"/>
    </row>
    <row r="414" spans="2:63" x14ac:dyDescent="0.2">
      <c r="B414" s="38"/>
      <c r="AY414" s="39"/>
      <c r="AZ414" s="39"/>
      <c r="BA414" s="39"/>
      <c r="BK414" s="39"/>
    </row>
    <row r="415" spans="2:63" x14ac:dyDescent="0.2">
      <c r="B415" s="38"/>
      <c r="AY415" s="39"/>
      <c r="AZ415" s="39"/>
      <c r="BA415" s="39"/>
      <c r="BK415" s="39"/>
    </row>
    <row r="416" spans="2:63" x14ac:dyDescent="0.2">
      <c r="B416" s="38"/>
      <c r="AY416" s="39"/>
      <c r="AZ416" s="39"/>
      <c r="BA416" s="39"/>
      <c r="BK416" s="39"/>
    </row>
    <row r="417" spans="2:63" x14ac:dyDescent="0.2">
      <c r="B417" s="38"/>
      <c r="AY417" s="39"/>
      <c r="AZ417" s="39"/>
      <c r="BA417" s="39"/>
      <c r="BK417" s="39"/>
    </row>
    <row r="418" spans="2:63" x14ac:dyDescent="0.2">
      <c r="B418" s="38"/>
      <c r="AY418" s="39"/>
      <c r="AZ418" s="39"/>
      <c r="BA418" s="39"/>
      <c r="BK418" s="39"/>
    </row>
    <row r="419" spans="2:63" x14ac:dyDescent="0.2">
      <c r="B419" s="38"/>
      <c r="AY419" s="39"/>
      <c r="AZ419" s="39"/>
      <c r="BA419" s="39"/>
      <c r="BK419" s="39"/>
    </row>
    <row r="420" spans="2:63" x14ac:dyDescent="0.2">
      <c r="B420" s="38"/>
      <c r="AY420" s="39"/>
      <c r="AZ420" s="39"/>
      <c r="BA420" s="39"/>
      <c r="BK420" s="39"/>
    </row>
    <row r="421" spans="2:63" x14ac:dyDescent="0.2">
      <c r="B421" s="38"/>
      <c r="AY421" s="39"/>
      <c r="AZ421" s="39"/>
      <c r="BA421" s="39"/>
      <c r="BK421" s="39"/>
    </row>
    <row r="422" spans="2:63" x14ac:dyDescent="0.2">
      <c r="B422" s="38"/>
      <c r="AY422" s="39"/>
      <c r="AZ422" s="39"/>
      <c r="BA422" s="39"/>
      <c r="BK422" s="39"/>
    </row>
    <row r="423" spans="2:63" x14ac:dyDescent="0.2">
      <c r="B423" s="38"/>
      <c r="AY423" s="39"/>
      <c r="AZ423" s="39"/>
      <c r="BA423" s="39"/>
      <c r="BK423" s="39"/>
    </row>
    <row r="424" spans="2:63" x14ac:dyDescent="0.2">
      <c r="B424" s="38"/>
      <c r="AY424" s="39"/>
      <c r="AZ424" s="39"/>
      <c r="BA424" s="39"/>
      <c r="BK424" s="39"/>
    </row>
    <row r="425" spans="2:63" x14ac:dyDescent="0.2">
      <c r="B425" s="38"/>
      <c r="AY425" s="39"/>
      <c r="AZ425" s="39"/>
      <c r="BA425" s="39"/>
      <c r="BK425" s="39"/>
    </row>
    <row r="426" spans="2:63" x14ac:dyDescent="0.2">
      <c r="B426" s="38"/>
      <c r="AY426" s="39"/>
      <c r="AZ426" s="39"/>
      <c r="BA426" s="39"/>
      <c r="BK426" s="39"/>
    </row>
    <row r="427" spans="2:63" x14ac:dyDescent="0.2">
      <c r="B427" s="38"/>
      <c r="AY427" s="39"/>
      <c r="AZ427" s="39"/>
      <c r="BA427" s="39"/>
      <c r="BK427" s="39"/>
    </row>
    <row r="428" spans="2:63" x14ac:dyDescent="0.2">
      <c r="B428" s="38"/>
      <c r="AY428" s="39"/>
      <c r="AZ428" s="39"/>
      <c r="BA428" s="39"/>
      <c r="BK428" s="39"/>
    </row>
    <row r="429" spans="2:63" x14ac:dyDescent="0.2">
      <c r="B429" s="38"/>
      <c r="AY429" s="39"/>
      <c r="AZ429" s="39"/>
      <c r="BA429" s="39"/>
      <c r="BK429" s="39"/>
    </row>
    <row r="430" spans="2:63" x14ac:dyDescent="0.2">
      <c r="B430" s="38"/>
      <c r="AY430" s="39"/>
      <c r="AZ430" s="39"/>
      <c r="BA430" s="39"/>
      <c r="BK430" s="39"/>
    </row>
    <row r="431" spans="2:63" x14ac:dyDescent="0.2">
      <c r="B431" s="38"/>
      <c r="AY431" s="39"/>
      <c r="AZ431" s="39"/>
      <c r="BA431" s="39"/>
      <c r="BK431" s="39"/>
    </row>
    <row r="432" spans="2:63" x14ac:dyDescent="0.2">
      <c r="B432" s="38"/>
      <c r="AY432" s="39"/>
      <c r="AZ432" s="39"/>
      <c r="BA432" s="39"/>
      <c r="BK432" s="39"/>
    </row>
    <row r="433" spans="2:63" x14ac:dyDescent="0.2">
      <c r="B433" s="38"/>
      <c r="AY433" s="39"/>
      <c r="AZ433" s="39"/>
      <c r="BA433" s="39"/>
      <c r="BK433" s="39"/>
    </row>
    <row r="434" spans="2:63" x14ac:dyDescent="0.2">
      <c r="B434" s="38"/>
      <c r="AY434" s="39"/>
      <c r="AZ434" s="39"/>
      <c r="BA434" s="39"/>
      <c r="BK434" s="39"/>
    </row>
    <row r="435" spans="2:63" x14ac:dyDescent="0.2">
      <c r="B435" s="38"/>
      <c r="AY435" s="39"/>
      <c r="AZ435" s="39"/>
      <c r="BA435" s="39"/>
      <c r="BK435" s="39"/>
    </row>
    <row r="436" spans="2:63" x14ac:dyDescent="0.2">
      <c r="B436" s="38"/>
      <c r="AY436" s="39"/>
      <c r="AZ436" s="39"/>
      <c r="BA436" s="39"/>
      <c r="BK436" s="39"/>
    </row>
    <row r="437" spans="2:63" x14ac:dyDescent="0.2">
      <c r="B437" s="38"/>
      <c r="AY437" s="39"/>
      <c r="AZ437" s="39"/>
      <c r="BA437" s="39"/>
      <c r="BK437" s="39"/>
    </row>
    <row r="438" spans="2:63" x14ac:dyDescent="0.2">
      <c r="B438" s="38"/>
      <c r="AY438" s="39"/>
      <c r="AZ438" s="39"/>
      <c r="BA438" s="39"/>
      <c r="BK438" s="39"/>
    </row>
    <row r="439" spans="2:63" x14ac:dyDescent="0.2">
      <c r="B439" s="38"/>
      <c r="AY439" s="39"/>
      <c r="AZ439" s="39"/>
      <c r="BA439" s="39"/>
      <c r="BK439" s="39"/>
    </row>
    <row r="440" spans="2:63" x14ac:dyDescent="0.2">
      <c r="B440" s="38"/>
      <c r="AY440" s="39"/>
      <c r="AZ440" s="39"/>
      <c r="BA440" s="39"/>
      <c r="BK440" s="39"/>
    </row>
    <row r="441" spans="2:63" x14ac:dyDescent="0.2">
      <c r="B441" s="38"/>
      <c r="AY441" s="39"/>
      <c r="AZ441" s="39"/>
      <c r="BA441" s="39"/>
      <c r="BK441" s="39"/>
    </row>
    <row r="442" spans="2:63" x14ac:dyDescent="0.2">
      <c r="B442" s="38"/>
      <c r="AY442" s="39"/>
      <c r="AZ442" s="39"/>
      <c r="BA442" s="39"/>
      <c r="BK442" s="39"/>
    </row>
    <row r="443" spans="2:63" x14ac:dyDescent="0.2">
      <c r="B443" s="38"/>
      <c r="AY443" s="39"/>
      <c r="AZ443" s="39"/>
      <c r="BA443" s="39"/>
      <c r="BK443" s="39"/>
    </row>
    <row r="444" spans="2:63" x14ac:dyDescent="0.2">
      <c r="B444" s="38"/>
      <c r="AY444" s="39"/>
      <c r="AZ444" s="39"/>
      <c r="BA444" s="39"/>
      <c r="BK444" s="39"/>
    </row>
    <row r="445" spans="2:63" x14ac:dyDescent="0.2">
      <c r="B445" s="38"/>
      <c r="AY445" s="39"/>
      <c r="AZ445" s="39"/>
      <c r="BA445" s="39"/>
      <c r="BK445" s="39"/>
    </row>
    <row r="446" spans="2:63" x14ac:dyDescent="0.2">
      <c r="B446" s="38"/>
      <c r="AY446" s="39"/>
      <c r="AZ446" s="39"/>
      <c r="BA446" s="39"/>
      <c r="BK446" s="39"/>
    </row>
    <row r="447" spans="2:63" x14ac:dyDescent="0.2">
      <c r="B447" s="38"/>
      <c r="AY447" s="39"/>
      <c r="AZ447" s="39"/>
      <c r="BA447" s="39"/>
      <c r="BK447" s="39"/>
    </row>
    <row r="448" spans="2:63" x14ac:dyDescent="0.2">
      <c r="B448" s="38"/>
      <c r="AY448" s="39"/>
      <c r="AZ448" s="39"/>
      <c r="BA448" s="39"/>
      <c r="BK448" s="39"/>
    </row>
    <row r="449" spans="2:63" x14ac:dyDescent="0.2">
      <c r="B449" s="38"/>
      <c r="AY449" s="39"/>
      <c r="AZ449" s="39"/>
      <c r="BA449" s="39"/>
      <c r="BK449" s="39"/>
    </row>
    <row r="450" spans="2:63" x14ac:dyDescent="0.2">
      <c r="B450" s="38"/>
      <c r="AY450" s="39"/>
      <c r="AZ450" s="39"/>
      <c r="BA450" s="39"/>
      <c r="BK450" s="39"/>
    </row>
    <row r="451" spans="2:63" x14ac:dyDescent="0.2">
      <c r="B451" s="38"/>
      <c r="AY451" s="39"/>
      <c r="AZ451" s="39"/>
      <c r="BA451" s="39"/>
      <c r="BK451" s="39"/>
    </row>
    <row r="452" spans="2:63" x14ac:dyDescent="0.2">
      <c r="B452" s="38"/>
      <c r="AY452" s="39"/>
      <c r="AZ452" s="39"/>
      <c r="BA452" s="39"/>
      <c r="BK452" s="39"/>
    </row>
    <row r="453" spans="2:63" x14ac:dyDescent="0.2">
      <c r="B453" s="38"/>
      <c r="AY453" s="39"/>
      <c r="AZ453" s="39"/>
      <c r="BA453" s="39"/>
      <c r="BK453" s="39"/>
    </row>
    <row r="454" spans="2:63" x14ac:dyDescent="0.2">
      <c r="B454" s="38"/>
      <c r="AY454" s="39"/>
      <c r="AZ454" s="39"/>
      <c r="BA454" s="39"/>
      <c r="BK454" s="39"/>
    </row>
    <row r="455" spans="2:63" x14ac:dyDescent="0.2">
      <c r="B455" s="38"/>
      <c r="AY455" s="39"/>
      <c r="AZ455" s="39"/>
      <c r="BA455" s="39"/>
      <c r="BK455" s="39"/>
    </row>
    <row r="456" spans="2:63" x14ac:dyDescent="0.2">
      <c r="B456" s="38"/>
      <c r="AY456" s="39"/>
      <c r="AZ456" s="39"/>
      <c r="BA456" s="39"/>
      <c r="BK456" s="39"/>
    </row>
    <row r="457" spans="2:63" x14ac:dyDescent="0.2">
      <c r="B457" s="38"/>
      <c r="AY457" s="39"/>
      <c r="AZ457" s="39"/>
      <c r="BA457" s="39"/>
      <c r="BK457" s="39"/>
    </row>
    <row r="458" spans="2:63" x14ac:dyDescent="0.2">
      <c r="B458" s="38"/>
      <c r="AY458" s="39"/>
      <c r="AZ458" s="39"/>
      <c r="BA458" s="39"/>
      <c r="BK458" s="39"/>
    </row>
    <row r="459" spans="2:63" x14ac:dyDescent="0.2">
      <c r="B459" s="38"/>
      <c r="AY459" s="39"/>
      <c r="AZ459" s="39"/>
      <c r="BA459" s="39"/>
      <c r="BK459" s="39"/>
    </row>
    <row r="460" spans="2:63" x14ac:dyDescent="0.2">
      <c r="B460" s="38"/>
      <c r="AY460" s="39"/>
      <c r="AZ460" s="39"/>
      <c r="BA460" s="39"/>
      <c r="BK460" s="39"/>
    </row>
    <row r="461" spans="2:63" x14ac:dyDescent="0.2">
      <c r="B461" s="38"/>
      <c r="AY461" s="39"/>
      <c r="AZ461" s="39"/>
      <c r="BA461" s="39"/>
      <c r="BK461" s="39"/>
    </row>
    <row r="462" spans="2:63" x14ac:dyDescent="0.2">
      <c r="B462" s="38"/>
      <c r="AY462" s="39"/>
      <c r="AZ462" s="39"/>
      <c r="BA462" s="39"/>
      <c r="BK462" s="39"/>
    </row>
    <row r="463" spans="2:63" x14ac:dyDescent="0.2">
      <c r="B463" s="38"/>
      <c r="AY463" s="39"/>
      <c r="AZ463" s="39"/>
      <c r="BA463" s="39"/>
      <c r="BK463" s="39"/>
    </row>
    <row r="464" spans="2:63" x14ac:dyDescent="0.2">
      <c r="B464" s="38"/>
      <c r="AY464" s="39"/>
      <c r="AZ464" s="39"/>
      <c r="BA464" s="39"/>
      <c r="BK464" s="39"/>
    </row>
    <row r="465" spans="2:63" x14ac:dyDescent="0.2">
      <c r="B465" s="38"/>
      <c r="AY465" s="39"/>
      <c r="AZ465" s="39"/>
      <c r="BA465" s="39"/>
      <c r="BK465" s="39"/>
    </row>
    <row r="466" spans="2:63" x14ac:dyDescent="0.2">
      <c r="B466" s="38"/>
      <c r="AY466" s="39"/>
      <c r="AZ466" s="39"/>
      <c r="BA466" s="39"/>
      <c r="BK466" s="39"/>
    </row>
    <row r="467" spans="2:63" x14ac:dyDescent="0.2">
      <c r="B467" s="38"/>
      <c r="AY467" s="39"/>
      <c r="AZ467" s="39"/>
      <c r="BA467" s="39"/>
      <c r="BK467" s="39"/>
    </row>
    <row r="468" spans="2:63" x14ac:dyDescent="0.2">
      <c r="B468" s="38"/>
      <c r="AY468" s="39"/>
      <c r="AZ468" s="39"/>
      <c r="BA468" s="39"/>
      <c r="BK468" s="39"/>
    </row>
    <row r="469" spans="2:63" x14ac:dyDescent="0.2">
      <c r="B469" s="38"/>
      <c r="AY469" s="39"/>
      <c r="AZ469" s="39"/>
      <c r="BA469" s="39"/>
      <c r="BK469" s="39"/>
    </row>
    <row r="470" spans="2:63" x14ac:dyDescent="0.2">
      <c r="B470" s="38"/>
      <c r="AY470" s="39"/>
      <c r="AZ470" s="39"/>
      <c r="BA470" s="39"/>
      <c r="BK470" s="39"/>
    </row>
    <row r="471" spans="2:63" x14ac:dyDescent="0.2">
      <c r="B471" s="38"/>
      <c r="AY471" s="39"/>
      <c r="AZ471" s="39"/>
      <c r="BA471" s="39"/>
      <c r="BK471" s="39"/>
    </row>
    <row r="472" spans="2:63" x14ac:dyDescent="0.2">
      <c r="B472" s="38"/>
      <c r="AY472" s="39"/>
      <c r="AZ472" s="39"/>
      <c r="BA472" s="39"/>
      <c r="BK472" s="39"/>
    </row>
    <row r="473" spans="2:63" x14ac:dyDescent="0.2">
      <c r="B473" s="38"/>
      <c r="AY473" s="39"/>
      <c r="AZ473" s="39"/>
      <c r="BA473" s="39"/>
      <c r="BK473" s="39"/>
    </row>
    <row r="474" spans="2:63" x14ac:dyDescent="0.2">
      <c r="B474" s="38"/>
      <c r="AY474" s="39"/>
      <c r="AZ474" s="39"/>
      <c r="BA474" s="39"/>
      <c r="BK474" s="39"/>
    </row>
    <row r="475" spans="2:63" x14ac:dyDescent="0.2">
      <c r="B475" s="38"/>
      <c r="AY475" s="39"/>
      <c r="AZ475" s="39"/>
      <c r="BA475" s="39"/>
      <c r="BK475" s="39"/>
    </row>
    <row r="476" spans="2:63" x14ac:dyDescent="0.2">
      <c r="B476" s="38"/>
      <c r="AY476" s="39"/>
      <c r="AZ476" s="39"/>
      <c r="BA476" s="39"/>
      <c r="BK476" s="39"/>
    </row>
    <row r="477" spans="2:63" x14ac:dyDescent="0.2">
      <c r="B477" s="38"/>
      <c r="AY477" s="39"/>
      <c r="AZ477" s="39"/>
      <c r="BA477" s="39"/>
      <c r="BK477" s="39"/>
    </row>
    <row r="478" spans="2:63" x14ac:dyDescent="0.2">
      <c r="B478" s="38"/>
      <c r="AY478" s="39"/>
      <c r="AZ478" s="39"/>
      <c r="BA478" s="39"/>
      <c r="BK478" s="39"/>
    </row>
    <row r="479" spans="2:63" x14ac:dyDescent="0.2">
      <c r="B479" s="38"/>
      <c r="AY479" s="39"/>
      <c r="AZ479" s="39"/>
      <c r="BA479" s="39"/>
      <c r="BK479" s="39"/>
    </row>
    <row r="480" spans="2:63" x14ac:dyDescent="0.2">
      <c r="B480" s="38"/>
      <c r="AY480" s="39"/>
      <c r="AZ480" s="39"/>
      <c r="BA480" s="39"/>
      <c r="BK480" s="39"/>
    </row>
    <row r="481" spans="2:63" x14ac:dyDescent="0.2">
      <c r="B481" s="38"/>
      <c r="AY481" s="39"/>
      <c r="AZ481" s="39"/>
      <c r="BA481" s="39"/>
      <c r="BK481" s="39"/>
    </row>
    <row r="482" spans="2:63" x14ac:dyDescent="0.2">
      <c r="B482" s="38"/>
      <c r="AY482" s="39"/>
      <c r="AZ482" s="39"/>
      <c r="BA482" s="39"/>
      <c r="BK482" s="39"/>
    </row>
    <row r="483" spans="2:63" x14ac:dyDescent="0.2">
      <c r="B483" s="38"/>
      <c r="AY483" s="39"/>
      <c r="AZ483" s="39"/>
      <c r="BA483" s="39"/>
      <c r="BK483" s="39"/>
    </row>
    <row r="484" spans="2:63" x14ac:dyDescent="0.2">
      <c r="B484" s="38"/>
      <c r="AY484" s="39"/>
      <c r="AZ484" s="39"/>
      <c r="BA484" s="39"/>
      <c r="BK484" s="39"/>
    </row>
    <row r="485" spans="2:63" x14ac:dyDescent="0.2">
      <c r="B485" s="38"/>
      <c r="AY485" s="39"/>
      <c r="AZ485" s="39"/>
      <c r="BA485" s="39"/>
      <c r="BK485" s="39"/>
    </row>
    <row r="486" spans="2:63" x14ac:dyDescent="0.2">
      <c r="B486" s="38"/>
      <c r="AY486" s="39"/>
      <c r="AZ486" s="39"/>
      <c r="BA486" s="39"/>
      <c r="BK486" s="39"/>
    </row>
    <row r="487" spans="2:63" x14ac:dyDescent="0.2">
      <c r="B487" s="38"/>
      <c r="AY487" s="39"/>
      <c r="AZ487" s="39"/>
      <c r="BA487" s="39"/>
      <c r="BK487" s="39"/>
    </row>
    <row r="488" spans="2:63" x14ac:dyDescent="0.2">
      <c r="B488" s="38"/>
      <c r="AY488" s="39"/>
      <c r="AZ488" s="39"/>
      <c r="BA488" s="39"/>
      <c r="BK488" s="39"/>
    </row>
    <row r="489" spans="2:63" x14ac:dyDescent="0.2">
      <c r="B489" s="38"/>
      <c r="AY489" s="39"/>
      <c r="AZ489" s="39"/>
      <c r="BA489" s="39"/>
      <c r="BK489" s="39"/>
    </row>
    <row r="490" spans="2:63" x14ac:dyDescent="0.2">
      <c r="B490" s="38"/>
      <c r="AY490" s="39"/>
      <c r="AZ490" s="39"/>
      <c r="BA490" s="39"/>
      <c r="BK490" s="39"/>
    </row>
    <row r="491" spans="2:63" x14ac:dyDescent="0.2">
      <c r="B491" s="38"/>
      <c r="AY491" s="39"/>
      <c r="AZ491" s="39"/>
      <c r="BA491" s="39"/>
      <c r="BK491" s="39"/>
    </row>
    <row r="492" spans="2:63" x14ac:dyDescent="0.2">
      <c r="B492" s="38"/>
      <c r="AY492" s="39"/>
      <c r="AZ492" s="39"/>
      <c r="BA492" s="39"/>
      <c r="BK492" s="39"/>
    </row>
    <row r="493" spans="2:63" x14ac:dyDescent="0.2">
      <c r="B493" s="38"/>
      <c r="AY493" s="39"/>
      <c r="AZ493" s="39"/>
      <c r="BA493" s="39"/>
      <c r="BK493" s="39"/>
    </row>
    <row r="494" spans="2:63" x14ac:dyDescent="0.2">
      <c r="B494" s="38"/>
      <c r="AY494" s="39"/>
      <c r="AZ494" s="39"/>
      <c r="BA494" s="39"/>
      <c r="BK494" s="39"/>
    </row>
    <row r="495" spans="2:63" x14ac:dyDescent="0.2">
      <c r="B495" s="38"/>
      <c r="AY495" s="39"/>
      <c r="AZ495" s="39"/>
      <c r="BA495" s="39"/>
      <c r="BK495" s="39"/>
    </row>
    <row r="496" spans="2:63" x14ac:dyDescent="0.2">
      <c r="B496" s="38"/>
      <c r="AY496" s="39"/>
      <c r="AZ496" s="39"/>
      <c r="BA496" s="39"/>
      <c r="BK496" s="39"/>
    </row>
    <row r="497" spans="2:63" x14ac:dyDescent="0.2">
      <c r="B497" s="38"/>
      <c r="AY497" s="39"/>
      <c r="AZ497" s="39"/>
      <c r="BA497" s="39"/>
      <c r="BK497" s="39"/>
    </row>
    <row r="498" spans="2:63" x14ac:dyDescent="0.2">
      <c r="B498" s="38"/>
      <c r="AY498" s="39"/>
      <c r="AZ498" s="39"/>
      <c r="BA498" s="39"/>
      <c r="BK498" s="39"/>
    </row>
    <row r="499" spans="2:63" x14ac:dyDescent="0.2">
      <c r="B499" s="38"/>
      <c r="AY499" s="39"/>
      <c r="AZ499" s="39"/>
      <c r="BA499" s="39"/>
      <c r="BK499" s="39"/>
    </row>
    <row r="500" spans="2:63" x14ac:dyDescent="0.2">
      <c r="B500" s="38"/>
      <c r="AY500" s="39"/>
      <c r="AZ500" s="39"/>
      <c r="BA500" s="39"/>
      <c r="BK500" s="39"/>
    </row>
    <row r="501" spans="2:63" x14ac:dyDescent="0.2">
      <c r="B501" s="38"/>
      <c r="AY501" s="39"/>
      <c r="AZ501" s="39"/>
      <c r="BA501" s="39"/>
      <c r="BK501" s="39"/>
    </row>
    <row r="502" spans="2:63" x14ac:dyDescent="0.2">
      <c r="B502" s="38"/>
      <c r="AY502" s="39"/>
      <c r="AZ502" s="39"/>
      <c r="BA502" s="39"/>
      <c r="BK502" s="39"/>
    </row>
    <row r="503" spans="2:63" x14ac:dyDescent="0.2">
      <c r="B503" s="38"/>
      <c r="AY503" s="39"/>
      <c r="AZ503" s="39"/>
      <c r="BA503" s="39"/>
      <c r="BK503" s="39"/>
    </row>
    <row r="504" spans="2:63" x14ac:dyDescent="0.2">
      <c r="B504" s="38"/>
      <c r="AY504" s="39"/>
      <c r="AZ504" s="39"/>
      <c r="BA504" s="39"/>
      <c r="BK504" s="39"/>
    </row>
    <row r="505" spans="2:63" x14ac:dyDescent="0.2">
      <c r="B505" s="38"/>
      <c r="AY505" s="39"/>
      <c r="AZ505" s="39"/>
      <c r="BA505" s="39"/>
      <c r="BK505" s="39"/>
    </row>
    <row r="506" spans="2:63" x14ac:dyDescent="0.2">
      <c r="B506" s="38"/>
      <c r="AY506" s="39"/>
      <c r="AZ506" s="39"/>
      <c r="BA506" s="39"/>
      <c r="BK506" s="39"/>
    </row>
    <row r="507" spans="2:63" x14ac:dyDescent="0.2">
      <c r="B507" s="38"/>
      <c r="AY507" s="39"/>
      <c r="AZ507" s="39"/>
      <c r="BA507" s="39"/>
      <c r="BK507" s="39"/>
    </row>
    <row r="508" spans="2:63" x14ac:dyDescent="0.2">
      <c r="B508" s="38"/>
      <c r="AY508" s="39"/>
      <c r="AZ508" s="39"/>
      <c r="BA508" s="39"/>
      <c r="BK508" s="39"/>
    </row>
    <row r="509" spans="2:63" x14ac:dyDescent="0.2">
      <c r="B509" s="38"/>
      <c r="AY509" s="39"/>
      <c r="AZ509" s="39"/>
      <c r="BA509" s="39"/>
      <c r="BK509" s="39"/>
    </row>
    <row r="510" spans="2:63" x14ac:dyDescent="0.2">
      <c r="B510" s="38"/>
      <c r="AY510" s="39"/>
      <c r="AZ510" s="39"/>
      <c r="BA510" s="39"/>
      <c r="BK510" s="39"/>
    </row>
    <row r="511" spans="2:63" x14ac:dyDescent="0.2">
      <c r="B511" s="38"/>
      <c r="AY511" s="39"/>
      <c r="AZ511" s="39"/>
      <c r="BA511" s="39"/>
      <c r="BK511" s="39"/>
    </row>
    <row r="512" spans="2:63" x14ac:dyDescent="0.2">
      <c r="B512" s="38"/>
      <c r="AY512" s="39"/>
      <c r="AZ512" s="39"/>
      <c r="BA512" s="39"/>
      <c r="BK512" s="39"/>
    </row>
    <row r="513" spans="2:63" x14ac:dyDescent="0.2">
      <c r="B513" s="38"/>
      <c r="AY513" s="39"/>
      <c r="AZ513" s="39"/>
      <c r="BA513" s="39"/>
      <c r="BK513" s="39"/>
    </row>
    <row r="514" spans="2:63" x14ac:dyDescent="0.2">
      <c r="B514" s="38"/>
      <c r="AY514" s="39"/>
      <c r="AZ514" s="39"/>
      <c r="BA514" s="39"/>
      <c r="BK514" s="39"/>
    </row>
    <row r="515" spans="2:63" x14ac:dyDescent="0.2">
      <c r="B515" s="38"/>
      <c r="AY515" s="39"/>
      <c r="AZ515" s="39"/>
      <c r="BA515" s="39"/>
      <c r="BK515" s="39"/>
    </row>
    <row r="516" spans="2:63" x14ac:dyDescent="0.2">
      <c r="B516" s="38"/>
      <c r="AY516" s="39"/>
      <c r="AZ516" s="39"/>
      <c r="BA516" s="39"/>
      <c r="BK516" s="39"/>
    </row>
    <row r="517" spans="2:63" x14ac:dyDescent="0.2">
      <c r="B517" s="38"/>
      <c r="AY517" s="39"/>
      <c r="AZ517" s="39"/>
      <c r="BA517" s="39"/>
      <c r="BK517" s="39"/>
    </row>
    <row r="518" spans="2:63" x14ac:dyDescent="0.2">
      <c r="B518" s="38"/>
      <c r="AY518" s="39"/>
      <c r="AZ518" s="39"/>
      <c r="BA518" s="39"/>
      <c r="BK518" s="39"/>
    </row>
    <row r="519" spans="2:63" x14ac:dyDescent="0.2">
      <c r="B519" s="38"/>
      <c r="AY519" s="39"/>
      <c r="AZ519" s="39"/>
      <c r="BA519" s="39"/>
      <c r="BK519" s="39"/>
    </row>
    <row r="520" spans="2:63" x14ac:dyDescent="0.2">
      <c r="B520" s="38"/>
      <c r="AY520" s="39"/>
      <c r="AZ520" s="39"/>
      <c r="BA520" s="39"/>
      <c r="BK520" s="39"/>
    </row>
    <row r="521" spans="2:63" x14ac:dyDescent="0.2">
      <c r="B521" s="38"/>
      <c r="AY521" s="39"/>
      <c r="AZ521" s="39"/>
      <c r="BA521" s="39"/>
      <c r="BK521" s="39"/>
    </row>
    <row r="522" spans="2:63" x14ac:dyDescent="0.2">
      <c r="B522" s="38"/>
      <c r="AY522" s="39"/>
      <c r="AZ522" s="39"/>
      <c r="BA522" s="39"/>
      <c r="BK522" s="39"/>
    </row>
    <row r="523" spans="2:63" x14ac:dyDescent="0.2">
      <c r="B523" s="38"/>
      <c r="AY523" s="39"/>
      <c r="AZ523" s="39"/>
      <c r="BA523" s="39"/>
      <c r="BK523" s="39"/>
    </row>
    <row r="524" spans="2:63" x14ac:dyDescent="0.2">
      <c r="B524" s="38"/>
      <c r="AY524" s="39"/>
      <c r="AZ524" s="39"/>
      <c r="BA524" s="39"/>
      <c r="BK524" s="39"/>
    </row>
    <row r="525" spans="2:63" x14ac:dyDescent="0.2">
      <c r="B525" s="38"/>
      <c r="AY525" s="39"/>
      <c r="AZ525" s="39"/>
      <c r="BA525" s="39"/>
      <c r="BK525" s="39"/>
    </row>
    <row r="526" spans="2:63" x14ac:dyDescent="0.2">
      <c r="B526" s="38"/>
      <c r="AY526" s="39"/>
      <c r="AZ526" s="39"/>
      <c r="BA526" s="39"/>
      <c r="BK526" s="39"/>
    </row>
    <row r="527" spans="2:63" x14ac:dyDescent="0.2">
      <c r="B527" s="38"/>
      <c r="AY527" s="39"/>
      <c r="AZ527" s="39"/>
      <c r="BA527" s="39"/>
      <c r="BK527" s="39"/>
    </row>
    <row r="528" spans="2:63" x14ac:dyDescent="0.2">
      <c r="B528" s="38"/>
      <c r="AY528" s="39"/>
      <c r="AZ528" s="39"/>
      <c r="BA528" s="39"/>
      <c r="BK528" s="39"/>
    </row>
    <row r="529" spans="2:63" x14ac:dyDescent="0.2">
      <c r="B529" s="38"/>
      <c r="AY529" s="39"/>
      <c r="AZ529" s="39"/>
      <c r="BA529" s="39"/>
      <c r="BK529" s="39"/>
    </row>
    <row r="530" spans="2:63" x14ac:dyDescent="0.2">
      <c r="B530" s="38"/>
      <c r="AY530" s="39"/>
      <c r="AZ530" s="39"/>
      <c r="BA530" s="39"/>
      <c r="BK530" s="39"/>
    </row>
    <row r="531" spans="2:63" x14ac:dyDescent="0.2">
      <c r="B531" s="38"/>
      <c r="AY531" s="39"/>
      <c r="AZ531" s="39"/>
      <c r="BA531" s="39"/>
      <c r="BK531" s="39"/>
    </row>
    <row r="532" spans="2:63" x14ac:dyDescent="0.2">
      <c r="B532" s="38"/>
      <c r="AY532" s="39"/>
      <c r="AZ532" s="39"/>
      <c r="BA532" s="39"/>
      <c r="BK532" s="39"/>
    </row>
    <row r="533" spans="2:63" x14ac:dyDescent="0.2">
      <c r="B533" s="38"/>
      <c r="AY533" s="39"/>
      <c r="AZ533" s="39"/>
      <c r="BA533" s="39"/>
      <c r="BK533" s="39"/>
    </row>
    <row r="534" spans="2:63" x14ac:dyDescent="0.2">
      <c r="B534" s="38"/>
      <c r="AY534" s="39"/>
      <c r="AZ534" s="39"/>
      <c r="BA534" s="39"/>
      <c r="BK534" s="39"/>
    </row>
    <row r="535" spans="2:63" x14ac:dyDescent="0.2">
      <c r="B535" s="38"/>
      <c r="AY535" s="39"/>
      <c r="AZ535" s="39"/>
      <c r="BA535" s="39"/>
      <c r="BK535" s="39"/>
    </row>
    <row r="536" spans="2:63" x14ac:dyDescent="0.2">
      <c r="B536" s="38"/>
      <c r="AY536" s="39"/>
      <c r="AZ536" s="39"/>
      <c r="BA536" s="39"/>
      <c r="BK536" s="39"/>
    </row>
    <row r="537" spans="2:63" x14ac:dyDescent="0.2">
      <c r="B537" s="38"/>
      <c r="AY537" s="39"/>
      <c r="AZ537" s="39"/>
      <c r="BA537" s="39"/>
      <c r="BK537" s="39"/>
    </row>
    <row r="538" spans="2:63" x14ac:dyDescent="0.2">
      <c r="B538" s="38"/>
      <c r="AY538" s="39"/>
      <c r="AZ538" s="39"/>
      <c r="BA538" s="39"/>
      <c r="BK538" s="39"/>
    </row>
    <row r="539" spans="2:63" x14ac:dyDescent="0.2">
      <c r="B539" s="38"/>
      <c r="AY539" s="39"/>
      <c r="AZ539" s="39"/>
      <c r="BA539" s="39"/>
      <c r="BK539" s="39"/>
    </row>
    <row r="540" spans="2:63" x14ac:dyDescent="0.2">
      <c r="B540" s="38"/>
      <c r="AY540" s="39"/>
      <c r="AZ540" s="39"/>
      <c r="BA540" s="39"/>
      <c r="BK540" s="39"/>
    </row>
    <row r="541" spans="2:63" x14ac:dyDescent="0.2">
      <c r="B541" s="38"/>
      <c r="AY541" s="39"/>
      <c r="AZ541" s="39"/>
      <c r="BA541" s="39"/>
      <c r="BK541" s="39"/>
    </row>
    <row r="542" spans="2:63" x14ac:dyDescent="0.2">
      <c r="B542" s="38"/>
      <c r="AY542" s="39"/>
      <c r="AZ542" s="39"/>
      <c r="BA542" s="39"/>
      <c r="BK542" s="39"/>
    </row>
    <row r="543" spans="2:63" x14ac:dyDescent="0.2">
      <c r="B543" s="38"/>
      <c r="AY543" s="39"/>
      <c r="AZ543" s="39"/>
      <c r="BA543" s="39"/>
      <c r="BK543" s="39"/>
    </row>
    <row r="544" spans="2:63" x14ac:dyDescent="0.2">
      <c r="B544" s="38"/>
      <c r="AY544" s="39"/>
      <c r="AZ544" s="39"/>
      <c r="BA544" s="39"/>
      <c r="BK544" s="39"/>
    </row>
    <row r="545" spans="2:63" x14ac:dyDescent="0.2">
      <c r="B545" s="38"/>
      <c r="AY545" s="39"/>
      <c r="AZ545" s="39"/>
      <c r="BA545" s="39"/>
      <c r="BK545" s="39"/>
    </row>
    <row r="546" spans="2:63" x14ac:dyDescent="0.2">
      <c r="B546" s="38"/>
      <c r="AY546" s="39"/>
      <c r="AZ546" s="39"/>
      <c r="BA546" s="39"/>
      <c r="BK546" s="39"/>
    </row>
    <row r="547" spans="2:63" x14ac:dyDescent="0.2">
      <c r="B547" s="38"/>
      <c r="AY547" s="39"/>
      <c r="AZ547" s="39"/>
      <c r="BA547" s="39"/>
      <c r="BK547" s="39"/>
    </row>
    <row r="548" spans="2:63" x14ac:dyDescent="0.2">
      <c r="B548" s="38"/>
      <c r="AY548" s="39"/>
      <c r="AZ548" s="39"/>
      <c r="BA548" s="39"/>
      <c r="BK548" s="39"/>
    </row>
    <row r="549" spans="2:63" x14ac:dyDescent="0.2">
      <c r="B549" s="38"/>
      <c r="AY549" s="39"/>
      <c r="AZ549" s="39"/>
      <c r="BA549" s="39"/>
      <c r="BK549" s="39"/>
    </row>
    <row r="550" spans="2:63" x14ac:dyDescent="0.2">
      <c r="B550" s="38"/>
      <c r="AY550" s="39"/>
      <c r="AZ550" s="39"/>
      <c r="BA550" s="39"/>
      <c r="BK550" s="39"/>
    </row>
    <row r="551" spans="2:63" x14ac:dyDescent="0.2">
      <c r="B551" s="38"/>
      <c r="AY551" s="39"/>
      <c r="AZ551" s="39"/>
      <c r="BA551" s="39"/>
      <c r="BK551" s="39"/>
    </row>
    <row r="552" spans="2:63" x14ac:dyDescent="0.2">
      <c r="B552" s="38"/>
      <c r="AY552" s="39"/>
      <c r="AZ552" s="39"/>
      <c r="BA552" s="39"/>
      <c r="BK552" s="39"/>
    </row>
    <row r="553" spans="2:63" x14ac:dyDescent="0.2">
      <c r="B553" s="38"/>
      <c r="AY553" s="39"/>
      <c r="AZ553" s="39"/>
      <c r="BA553" s="39"/>
      <c r="BK553" s="39"/>
    </row>
    <row r="554" spans="2:63" x14ac:dyDescent="0.2">
      <c r="B554" s="38"/>
      <c r="AY554" s="39"/>
      <c r="AZ554" s="39"/>
      <c r="BA554" s="39"/>
      <c r="BK554" s="39"/>
    </row>
    <row r="555" spans="2:63" x14ac:dyDescent="0.2">
      <c r="B555" s="38"/>
      <c r="AY555" s="39"/>
      <c r="AZ555" s="39"/>
      <c r="BA555" s="39"/>
      <c r="BK555" s="39"/>
    </row>
    <row r="556" spans="2:63" x14ac:dyDescent="0.2">
      <c r="B556" s="38"/>
      <c r="AY556" s="39"/>
      <c r="AZ556" s="39"/>
      <c r="BA556" s="39"/>
      <c r="BK556" s="39"/>
    </row>
    <row r="557" spans="2:63" x14ac:dyDescent="0.2">
      <c r="B557" s="38"/>
      <c r="AY557" s="39"/>
      <c r="AZ557" s="39"/>
      <c r="BA557" s="39"/>
      <c r="BK557" s="39"/>
    </row>
    <row r="558" spans="2:63" x14ac:dyDescent="0.2">
      <c r="B558" s="38"/>
      <c r="AY558" s="39"/>
      <c r="AZ558" s="39"/>
      <c r="BA558" s="39"/>
      <c r="BK558" s="39"/>
    </row>
    <row r="559" spans="2:63" x14ac:dyDescent="0.2">
      <c r="B559" s="38"/>
      <c r="AY559" s="39"/>
      <c r="AZ559" s="39"/>
      <c r="BA559" s="39"/>
      <c r="BK559" s="39"/>
    </row>
    <row r="560" spans="2:63" x14ac:dyDescent="0.2">
      <c r="B560" s="38"/>
      <c r="AY560" s="39"/>
      <c r="AZ560" s="39"/>
      <c r="BA560" s="39"/>
      <c r="BK560" s="39"/>
    </row>
    <row r="561" spans="2:63" x14ac:dyDescent="0.2">
      <c r="B561" s="38"/>
      <c r="AY561" s="39"/>
      <c r="AZ561" s="39"/>
      <c r="BA561" s="39"/>
      <c r="BK561" s="39"/>
    </row>
    <row r="562" spans="2:63" x14ac:dyDescent="0.2">
      <c r="B562" s="38"/>
      <c r="AY562" s="39"/>
      <c r="AZ562" s="39"/>
      <c r="BA562" s="39"/>
      <c r="BK562" s="39"/>
    </row>
    <row r="563" spans="2:63" x14ac:dyDescent="0.2">
      <c r="B563" s="38"/>
      <c r="AY563" s="39"/>
      <c r="AZ563" s="39"/>
      <c r="BA563" s="39"/>
      <c r="BK563" s="39"/>
    </row>
    <row r="564" spans="2:63" x14ac:dyDescent="0.2">
      <c r="B564" s="38"/>
      <c r="AY564" s="39"/>
      <c r="AZ564" s="39"/>
      <c r="BA564" s="39"/>
      <c r="BK564" s="39"/>
    </row>
    <row r="565" spans="2:63" x14ac:dyDescent="0.2">
      <c r="B565" s="38"/>
      <c r="AY565" s="39"/>
      <c r="AZ565" s="39"/>
      <c r="BA565" s="39"/>
      <c r="BK565" s="39"/>
    </row>
    <row r="566" spans="2:63" x14ac:dyDescent="0.2">
      <c r="B566" s="38"/>
      <c r="AY566" s="39"/>
      <c r="AZ566" s="39"/>
      <c r="BA566" s="39"/>
      <c r="BK566" s="39"/>
    </row>
    <row r="567" spans="2:63" x14ac:dyDescent="0.2">
      <c r="B567" s="38"/>
      <c r="AY567" s="39"/>
      <c r="AZ567" s="39"/>
      <c r="BA567" s="39"/>
      <c r="BK567" s="39"/>
    </row>
    <row r="568" spans="2:63" x14ac:dyDescent="0.2">
      <c r="B568" s="38"/>
      <c r="AY568" s="39"/>
      <c r="AZ568" s="39"/>
      <c r="BA568" s="39"/>
      <c r="BK568" s="39"/>
    </row>
    <row r="569" spans="2:63" x14ac:dyDescent="0.2">
      <c r="B569" s="38"/>
      <c r="AY569" s="39"/>
      <c r="AZ569" s="39"/>
      <c r="BA569" s="39"/>
      <c r="BK569" s="39"/>
    </row>
    <row r="570" spans="2:63" x14ac:dyDescent="0.2">
      <c r="B570" s="38"/>
      <c r="AY570" s="39"/>
      <c r="AZ570" s="39"/>
      <c r="BA570" s="39"/>
      <c r="BK570" s="39"/>
    </row>
    <row r="571" spans="2:63" x14ac:dyDescent="0.2">
      <c r="B571" s="38"/>
      <c r="AY571" s="39"/>
      <c r="AZ571" s="39"/>
      <c r="BA571" s="39"/>
      <c r="BK571" s="39"/>
    </row>
    <row r="572" spans="2:63" x14ac:dyDescent="0.2">
      <c r="B572" s="38"/>
      <c r="AY572" s="39"/>
      <c r="AZ572" s="39"/>
      <c r="BA572" s="39"/>
      <c r="BK572" s="39"/>
    </row>
    <row r="573" spans="2:63" x14ac:dyDescent="0.2">
      <c r="B573" s="38"/>
      <c r="AY573" s="39"/>
      <c r="AZ573" s="39"/>
      <c r="BA573" s="39"/>
      <c r="BK573" s="39"/>
    </row>
    <row r="574" spans="2:63" x14ac:dyDescent="0.2">
      <c r="B574" s="38"/>
      <c r="AY574" s="39"/>
      <c r="AZ574" s="39"/>
      <c r="BA574" s="39"/>
      <c r="BK574" s="39"/>
    </row>
    <row r="575" spans="2:63" x14ac:dyDescent="0.2">
      <c r="B575" s="38"/>
      <c r="AY575" s="39"/>
      <c r="AZ575" s="39"/>
      <c r="BA575" s="39"/>
      <c r="BK575" s="39"/>
    </row>
    <row r="576" spans="2:63" x14ac:dyDescent="0.2">
      <c r="B576" s="38"/>
      <c r="AY576" s="39"/>
      <c r="AZ576" s="39"/>
      <c r="BA576" s="39"/>
      <c r="BK576" s="39"/>
    </row>
    <row r="577" spans="2:63" x14ac:dyDescent="0.2">
      <c r="B577" s="38"/>
      <c r="AY577" s="39"/>
      <c r="AZ577" s="39"/>
      <c r="BA577" s="39"/>
      <c r="BK577" s="39"/>
    </row>
    <row r="578" spans="2:63" x14ac:dyDescent="0.2">
      <c r="B578" s="38"/>
      <c r="AY578" s="39"/>
      <c r="AZ578" s="39"/>
      <c r="BA578" s="39"/>
      <c r="BK578" s="39"/>
    </row>
    <row r="579" spans="2:63" x14ac:dyDescent="0.2">
      <c r="B579" s="38"/>
      <c r="AY579" s="39"/>
      <c r="AZ579" s="39"/>
      <c r="BA579" s="39"/>
      <c r="BK579" s="39"/>
    </row>
    <row r="580" spans="2:63" x14ac:dyDescent="0.2">
      <c r="B580" s="38"/>
      <c r="AY580" s="39"/>
      <c r="AZ580" s="39"/>
      <c r="BA580" s="39"/>
      <c r="BK580" s="39"/>
    </row>
    <row r="581" spans="2:63" x14ac:dyDescent="0.2">
      <c r="B581" s="38"/>
      <c r="AY581" s="39"/>
      <c r="AZ581" s="39"/>
      <c r="BA581" s="39"/>
      <c r="BK581" s="39"/>
    </row>
    <row r="582" spans="2:63" x14ac:dyDescent="0.2">
      <c r="B582" s="38"/>
      <c r="AY582" s="39"/>
      <c r="AZ582" s="39"/>
      <c r="BA582" s="39"/>
      <c r="BK582" s="39"/>
    </row>
    <row r="583" spans="2:63" x14ac:dyDescent="0.2">
      <c r="B583" s="38"/>
      <c r="AY583" s="39"/>
      <c r="AZ583" s="39"/>
      <c r="BA583" s="39"/>
      <c r="BK583" s="39"/>
    </row>
    <row r="584" spans="2:63" x14ac:dyDescent="0.2">
      <c r="B584" s="38"/>
      <c r="AY584" s="39"/>
      <c r="AZ584" s="39"/>
      <c r="BA584" s="39"/>
      <c r="BK584" s="39"/>
    </row>
    <row r="585" spans="2:63" x14ac:dyDescent="0.2">
      <c r="B585" s="38"/>
      <c r="AY585" s="39"/>
      <c r="AZ585" s="39"/>
      <c r="BA585" s="39"/>
      <c r="BK585" s="39"/>
    </row>
    <row r="586" spans="2:63" x14ac:dyDescent="0.2">
      <c r="B586" s="38"/>
      <c r="AY586" s="39"/>
      <c r="AZ586" s="39"/>
      <c r="BA586" s="39"/>
      <c r="BK586" s="39"/>
    </row>
    <row r="587" spans="2:63" x14ac:dyDescent="0.2">
      <c r="B587" s="38"/>
      <c r="AY587" s="39"/>
      <c r="AZ587" s="39"/>
      <c r="BA587" s="39"/>
      <c r="BK587" s="39"/>
    </row>
    <row r="588" spans="2:63" x14ac:dyDescent="0.2">
      <c r="B588" s="38"/>
      <c r="AY588" s="39"/>
      <c r="AZ588" s="39"/>
      <c r="BA588" s="39"/>
      <c r="BK588" s="39"/>
    </row>
    <row r="589" spans="2:63" x14ac:dyDescent="0.2">
      <c r="B589" s="38"/>
      <c r="AY589" s="39"/>
      <c r="AZ589" s="39"/>
      <c r="BA589" s="39"/>
      <c r="BK589" s="39"/>
    </row>
    <row r="590" spans="2:63" x14ac:dyDescent="0.2">
      <c r="B590" s="38"/>
      <c r="AY590" s="39"/>
      <c r="AZ590" s="39"/>
      <c r="BA590" s="39"/>
      <c r="BK590" s="39"/>
    </row>
    <row r="591" spans="2:63" x14ac:dyDescent="0.2">
      <c r="B591" s="38"/>
      <c r="AY591" s="39"/>
      <c r="AZ591" s="39"/>
      <c r="BA591" s="39"/>
      <c r="BK591" s="39"/>
    </row>
    <row r="592" spans="2:63" x14ac:dyDescent="0.2">
      <c r="B592" s="38"/>
      <c r="AY592" s="39"/>
      <c r="AZ592" s="39"/>
      <c r="BA592" s="39"/>
      <c r="BK592" s="39"/>
    </row>
    <row r="593" spans="2:63" x14ac:dyDescent="0.2">
      <c r="B593" s="38"/>
      <c r="AY593" s="39"/>
      <c r="AZ593" s="39"/>
      <c r="BA593" s="39"/>
      <c r="BK593" s="39"/>
    </row>
    <row r="594" spans="2:63" x14ac:dyDescent="0.2">
      <c r="B594" s="38"/>
      <c r="AY594" s="39"/>
      <c r="AZ594" s="39"/>
      <c r="BA594" s="39"/>
      <c r="BK594" s="39"/>
    </row>
    <row r="595" spans="2:63" x14ac:dyDescent="0.2">
      <c r="B595" s="38"/>
      <c r="AY595" s="39"/>
      <c r="AZ595" s="39"/>
      <c r="BA595" s="39"/>
      <c r="BK595" s="39"/>
    </row>
    <row r="596" spans="2:63" x14ac:dyDescent="0.2">
      <c r="B596" s="38"/>
      <c r="AY596" s="39"/>
      <c r="AZ596" s="39"/>
      <c r="BA596" s="39"/>
      <c r="BK596" s="39"/>
    </row>
    <row r="597" spans="2:63" x14ac:dyDescent="0.2">
      <c r="B597" s="38"/>
      <c r="AY597" s="39"/>
      <c r="AZ597" s="39"/>
      <c r="BA597" s="39"/>
      <c r="BK597" s="39"/>
    </row>
    <row r="598" spans="2:63" x14ac:dyDescent="0.2">
      <c r="B598" s="38"/>
      <c r="AY598" s="39"/>
      <c r="AZ598" s="39"/>
      <c r="BA598" s="39"/>
      <c r="BK598" s="39"/>
    </row>
    <row r="599" spans="2:63" x14ac:dyDescent="0.2">
      <c r="B599" s="38"/>
      <c r="AY599" s="39"/>
      <c r="AZ599" s="39"/>
      <c r="BA599" s="39"/>
      <c r="BK599" s="39"/>
    </row>
    <row r="600" spans="2:63" x14ac:dyDescent="0.2">
      <c r="B600" s="38"/>
      <c r="AY600" s="39"/>
      <c r="AZ600" s="39"/>
      <c r="BA600" s="39"/>
      <c r="BK600" s="39"/>
    </row>
    <row r="601" spans="2:63" x14ac:dyDescent="0.2">
      <c r="B601" s="38"/>
      <c r="AY601" s="39"/>
      <c r="AZ601" s="39"/>
      <c r="BA601" s="39"/>
      <c r="BK601" s="39"/>
    </row>
    <row r="602" spans="2:63" x14ac:dyDescent="0.2">
      <c r="B602" s="38"/>
      <c r="AY602" s="39"/>
      <c r="AZ602" s="39"/>
      <c r="BA602" s="39"/>
      <c r="BK602" s="39"/>
    </row>
    <row r="603" spans="2:63" x14ac:dyDescent="0.2">
      <c r="B603" s="38"/>
      <c r="AY603" s="39"/>
      <c r="AZ603" s="39"/>
      <c r="BA603" s="39"/>
      <c r="BK603" s="39"/>
    </row>
    <row r="604" spans="2:63" x14ac:dyDescent="0.2">
      <c r="B604" s="38"/>
      <c r="AY604" s="39"/>
      <c r="AZ604" s="39"/>
      <c r="BA604" s="39"/>
      <c r="BK604" s="39"/>
    </row>
    <row r="605" spans="2:63" x14ac:dyDescent="0.2">
      <c r="B605" s="38"/>
      <c r="AY605" s="39"/>
      <c r="AZ605" s="39"/>
      <c r="BA605" s="39"/>
      <c r="BK605" s="39"/>
    </row>
    <row r="606" spans="2:63" x14ac:dyDescent="0.2">
      <c r="B606" s="38"/>
      <c r="AY606" s="39"/>
      <c r="AZ606" s="39"/>
      <c r="BA606" s="39"/>
      <c r="BK606" s="39"/>
    </row>
    <row r="607" spans="2:63" x14ac:dyDescent="0.2">
      <c r="B607" s="38"/>
      <c r="AY607" s="39"/>
      <c r="AZ607" s="39"/>
      <c r="BA607" s="39"/>
      <c r="BK607" s="39"/>
    </row>
    <row r="608" spans="2:63" x14ac:dyDescent="0.2">
      <c r="B608" s="38"/>
      <c r="AY608" s="39"/>
      <c r="AZ608" s="39"/>
      <c r="BA608" s="39"/>
      <c r="BK608" s="39"/>
    </row>
    <row r="609" spans="2:63" x14ac:dyDescent="0.2">
      <c r="B609" s="38"/>
      <c r="AY609" s="39"/>
      <c r="AZ609" s="39"/>
      <c r="BA609" s="39"/>
      <c r="BK609" s="39"/>
    </row>
    <row r="610" spans="2:63" x14ac:dyDescent="0.2">
      <c r="B610" s="38"/>
      <c r="AY610" s="39"/>
      <c r="AZ610" s="39"/>
      <c r="BA610" s="39"/>
      <c r="BK610" s="39"/>
    </row>
    <row r="611" spans="2:63" x14ac:dyDescent="0.2">
      <c r="B611" s="38"/>
      <c r="AY611" s="39"/>
      <c r="AZ611" s="39"/>
      <c r="BA611" s="39"/>
      <c r="BK611" s="39"/>
    </row>
    <row r="612" spans="2:63" x14ac:dyDescent="0.2">
      <c r="B612" s="38"/>
      <c r="AY612" s="39"/>
      <c r="AZ612" s="39"/>
      <c r="BA612" s="39"/>
      <c r="BK612" s="39"/>
    </row>
    <row r="613" spans="2:63" x14ac:dyDescent="0.2">
      <c r="B613" s="38"/>
      <c r="AY613" s="39"/>
      <c r="AZ613" s="39"/>
      <c r="BA613" s="39"/>
      <c r="BK613" s="39"/>
    </row>
    <row r="614" spans="2:63" x14ac:dyDescent="0.2">
      <c r="B614" s="38"/>
      <c r="AY614" s="39"/>
      <c r="AZ614" s="39"/>
      <c r="BA614" s="39"/>
      <c r="BK614" s="39"/>
    </row>
    <row r="615" spans="2:63" x14ac:dyDescent="0.2">
      <c r="B615" s="38"/>
      <c r="AY615" s="39"/>
      <c r="AZ615" s="39"/>
      <c r="BA615" s="39"/>
      <c r="BK615" s="39"/>
    </row>
    <row r="616" spans="2:63" x14ac:dyDescent="0.2">
      <c r="B616" s="38"/>
      <c r="AY616" s="39"/>
      <c r="AZ616" s="39"/>
      <c r="BA616" s="39"/>
      <c r="BK616" s="39"/>
    </row>
    <row r="617" spans="2:63" x14ac:dyDescent="0.2">
      <c r="B617" s="38"/>
      <c r="AY617" s="39"/>
      <c r="AZ617" s="39"/>
      <c r="BA617" s="39"/>
      <c r="BK617" s="39"/>
    </row>
    <row r="618" spans="2:63" x14ac:dyDescent="0.2">
      <c r="B618" s="38"/>
      <c r="AY618" s="39"/>
      <c r="AZ618" s="39"/>
      <c r="BA618" s="39"/>
      <c r="BK618" s="39"/>
    </row>
    <row r="619" spans="2:63" x14ac:dyDescent="0.2">
      <c r="B619" s="38"/>
      <c r="AY619" s="39"/>
      <c r="AZ619" s="39"/>
      <c r="BA619" s="39"/>
      <c r="BK619" s="39"/>
    </row>
    <row r="620" spans="2:63" x14ac:dyDescent="0.2">
      <c r="B620" s="38"/>
      <c r="AY620" s="39"/>
      <c r="AZ620" s="39"/>
      <c r="BA620" s="39"/>
      <c r="BK620" s="39"/>
    </row>
    <row r="621" spans="2:63" x14ac:dyDescent="0.2">
      <c r="B621" s="38"/>
      <c r="AY621" s="39"/>
      <c r="AZ621" s="39"/>
      <c r="BA621" s="39"/>
      <c r="BK621" s="39"/>
    </row>
    <row r="622" spans="2:63" x14ac:dyDescent="0.2">
      <c r="B622" s="38"/>
      <c r="AY622" s="39"/>
      <c r="AZ622" s="39"/>
      <c r="BA622" s="39"/>
      <c r="BK622" s="39"/>
    </row>
    <row r="623" spans="2:63" x14ac:dyDescent="0.2">
      <c r="B623" s="38"/>
      <c r="AY623" s="39"/>
      <c r="AZ623" s="39"/>
      <c r="BA623" s="39"/>
      <c r="BK623" s="39"/>
    </row>
    <row r="624" spans="2:63" x14ac:dyDescent="0.2">
      <c r="B624" s="38"/>
      <c r="AY624" s="39"/>
      <c r="AZ624" s="39"/>
      <c r="BA624" s="39"/>
      <c r="BK624" s="39"/>
    </row>
    <row r="625" spans="2:63" x14ac:dyDescent="0.2">
      <c r="B625" s="38"/>
      <c r="AY625" s="39"/>
      <c r="AZ625" s="39"/>
      <c r="BA625" s="39"/>
      <c r="BK625" s="39"/>
    </row>
    <row r="626" spans="2:63" x14ac:dyDescent="0.2">
      <c r="B626" s="38"/>
      <c r="AY626" s="39"/>
      <c r="AZ626" s="39"/>
      <c r="BA626" s="39"/>
      <c r="BK626" s="39"/>
    </row>
    <row r="627" spans="2:63" x14ac:dyDescent="0.2">
      <c r="B627" s="38"/>
      <c r="AY627" s="39"/>
      <c r="AZ627" s="39"/>
      <c r="BA627" s="39"/>
      <c r="BK627" s="39"/>
    </row>
    <row r="628" spans="2:63" x14ac:dyDescent="0.2">
      <c r="B628" s="38"/>
      <c r="AY628" s="39"/>
      <c r="AZ628" s="39"/>
      <c r="BA628" s="39"/>
      <c r="BK628" s="39"/>
    </row>
    <row r="629" spans="2:63" x14ac:dyDescent="0.2">
      <c r="B629" s="38"/>
      <c r="AY629" s="39"/>
      <c r="AZ629" s="39"/>
      <c r="BA629" s="39"/>
      <c r="BK629" s="39"/>
    </row>
    <row r="630" spans="2:63" x14ac:dyDescent="0.2">
      <c r="B630" s="38"/>
      <c r="AY630" s="39"/>
      <c r="AZ630" s="39"/>
      <c r="BA630" s="39"/>
      <c r="BK630" s="39"/>
    </row>
    <row r="631" spans="2:63" x14ac:dyDescent="0.2">
      <c r="B631" s="38"/>
      <c r="AY631" s="39"/>
      <c r="AZ631" s="39"/>
      <c r="BA631" s="39"/>
      <c r="BK631" s="39"/>
    </row>
    <row r="632" spans="2:63" x14ac:dyDescent="0.2">
      <c r="B632" s="38"/>
      <c r="AY632" s="39"/>
      <c r="AZ632" s="39"/>
      <c r="BA632" s="39"/>
      <c r="BK632" s="39"/>
    </row>
    <row r="633" spans="2:63" x14ac:dyDescent="0.2">
      <c r="B633" s="38"/>
      <c r="AY633" s="39"/>
      <c r="AZ633" s="39"/>
      <c r="BA633" s="39"/>
      <c r="BK633" s="39"/>
    </row>
    <row r="634" spans="2:63" x14ac:dyDescent="0.2">
      <c r="B634" s="38"/>
      <c r="AY634" s="39"/>
      <c r="AZ634" s="39"/>
      <c r="BA634" s="39"/>
      <c r="BK634" s="39"/>
    </row>
    <row r="635" spans="2:63" x14ac:dyDescent="0.2">
      <c r="B635" s="38"/>
      <c r="AY635" s="39"/>
      <c r="AZ635" s="39"/>
      <c r="BA635" s="39"/>
      <c r="BK635" s="39"/>
    </row>
    <row r="636" spans="2:63" x14ac:dyDescent="0.2">
      <c r="B636" s="38"/>
      <c r="AY636" s="39"/>
      <c r="AZ636" s="39"/>
      <c r="BA636" s="39"/>
      <c r="BK636" s="39"/>
    </row>
    <row r="637" spans="2:63" x14ac:dyDescent="0.2">
      <c r="B637" s="38"/>
      <c r="AY637" s="39"/>
      <c r="AZ637" s="39"/>
      <c r="BA637" s="39"/>
      <c r="BK637" s="39"/>
    </row>
    <row r="638" spans="2:63" x14ac:dyDescent="0.2">
      <c r="B638" s="38"/>
      <c r="AY638" s="39"/>
      <c r="AZ638" s="39"/>
      <c r="BA638" s="39"/>
      <c r="BK638" s="39"/>
    </row>
    <row r="639" spans="2:63" x14ac:dyDescent="0.2">
      <c r="B639" s="38"/>
      <c r="AY639" s="39"/>
      <c r="AZ639" s="39"/>
      <c r="BA639" s="39"/>
      <c r="BK639" s="39"/>
    </row>
    <row r="640" spans="2:63" x14ac:dyDescent="0.2">
      <c r="B640" s="38"/>
      <c r="AY640" s="39"/>
      <c r="AZ640" s="39"/>
      <c r="BA640" s="39"/>
      <c r="BK640" s="39"/>
    </row>
    <row r="641" spans="2:63" x14ac:dyDescent="0.2">
      <c r="B641" s="38"/>
      <c r="AY641" s="39"/>
      <c r="AZ641" s="39"/>
      <c r="BA641" s="39"/>
      <c r="BK641" s="39"/>
    </row>
    <row r="642" spans="2:63" x14ac:dyDescent="0.2">
      <c r="B642" s="38"/>
      <c r="AY642" s="39"/>
      <c r="AZ642" s="39"/>
      <c r="BA642" s="39"/>
      <c r="BK642" s="39"/>
    </row>
    <row r="643" spans="2:63" x14ac:dyDescent="0.2">
      <c r="B643" s="38"/>
      <c r="AY643" s="39"/>
      <c r="AZ643" s="39"/>
      <c r="BA643" s="39"/>
      <c r="BK643" s="39"/>
    </row>
    <row r="644" spans="2:63" x14ac:dyDescent="0.2">
      <c r="B644" s="38"/>
      <c r="AY644" s="39"/>
      <c r="AZ644" s="39"/>
      <c r="BA644" s="39"/>
      <c r="BK644" s="39"/>
    </row>
    <row r="645" spans="2:63" x14ac:dyDescent="0.2">
      <c r="B645" s="38"/>
      <c r="AY645" s="39"/>
      <c r="AZ645" s="39"/>
      <c r="BA645" s="39"/>
      <c r="BK645" s="39"/>
    </row>
    <row r="646" spans="2:63" x14ac:dyDescent="0.2">
      <c r="B646" s="38"/>
      <c r="AY646" s="39"/>
      <c r="AZ646" s="39"/>
      <c r="BA646" s="39"/>
      <c r="BK646" s="39"/>
    </row>
    <row r="647" spans="2:63" x14ac:dyDescent="0.2">
      <c r="B647" s="38"/>
      <c r="AY647" s="39"/>
      <c r="AZ647" s="39"/>
      <c r="BA647" s="39"/>
      <c r="BK647" s="39"/>
    </row>
    <row r="648" spans="2:63" x14ac:dyDescent="0.2">
      <c r="B648" s="38"/>
      <c r="AY648" s="39"/>
      <c r="AZ648" s="39"/>
      <c r="BA648" s="39"/>
      <c r="BK648" s="39"/>
    </row>
    <row r="649" spans="2:63" x14ac:dyDescent="0.2">
      <c r="B649" s="38"/>
      <c r="AY649" s="39"/>
      <c r="AZ649" s="39"/>
      <c r="BA649" s="39"/>
      <c r="BK649" s="39"/>
    </row>
    <row r="650" spans="2:63" x14ac:dyDescent="0.2">
      <c r="B650" s="38"/>
      <c r="AY650" s="39"/>
      <c r="AZ650" s="39"/>
      <c r="BA650" s="39"/>
      <c r="BK650" s="39"/>
    </row>
    <row r="651" spans="2:63" x14ac:dyDescent="0.2">
      <c r="B651" s="38"/>
      <c r="AY651" s="39"/>
      <c r="AZ651" s="39"/>
      <c r="BA651" s="39"/>
      <c r="BK651" s="39"/>
    </row>
    <row r="652" spans="2:63" x14ac:dyDescent="0.2">
      <c r="B652" s="38"/>
      <c r="AY652" s="39"/>
      <c r="AZ652" s="39"/>
      <c r="BA652" s="39"/>
      <c r="BK652" s="39"/>
    </row>
    <row r="653" spans="2:63" x14ac:dyDescent="0.2">
      <c r="B653" s="38"/>
      <c r="AY653" s="39"/>
      <c r="AZ653" s="39"/>
      <c r="BA653" s="39"/>
      <c r="BK653" s="39"/>
    </row>
    <row r="654" spans="2:63" x14ac:dyDescent="0.2">
      <c r="B654" s="38"/>
      <c r="AY654" s="39"/>
      <c r="AZ654" s="39"/>
      <c r="BA654" s="39"/>
      <c r="BK654" s="39"/>
    </row>
    <row r="655" spans="2:63" x14ac:dyDescent="0.2">
      <c r="B655" s="38"/>
      <c r="AY655" s="39"/>
      <c r="AZ655" s="39"/>
      <c r="BA655" s="39"/>
      <c r="BK655" s="39"/>
    </row>
    <row r="656" spans="2:63" x14ac:dyDescent="0.2">
      <c r="B656" s="38"/>
      <c r="AY656" s="39"/>
      <c r="AZ656" s="39"/>
      <c r="BA656" s="39"/>
      <c r="BK656" s="39"/>
    </row>
    <row r="657" spans="2:63" x14ac:dyDescent="0.2">
      <c r="B657" s="38"/>
      <c r="AY657" s="39"/>
      <c r="AZ657" s="39"/>
      <c r="BA657" s="39"/>
      <c r="BK657" s="39"/>
    </row>
    <row r="658" spans="2:63" x14ac:dyDescent="0.2">
      <c r="B658" s="38"/>
      <c r="AY658" s="39"/>
      <c r="AZ658" s="39"/>
      <c r="BA658" s="39"/>
      <c r="BK658" s="39"/>
    </row>
    <row r="659" spans="2:63" x14ac:dyDescent="0.2">
      <c r="B659" s="38"/>
      <c r="AY659" s="39"/>
      <c r="AZ659" s="39"/>
      <c r="BA659" s="39"/>
      <c r="BK659" s="39"/>
    </row>
    <row r="660" spans="2:63" x14ac:dyDescent="0.2">
      <c r="B660" s="38"/>
      <c r="AY660" s="39"/>
      <c r="AZ660" s="39"/>
      <c r="BA660" s="39"/>
      <c r="BK660" s="39"/>
    </row>
    <row r="661" spans="2:63" x14ac:dyDescent="0.2">
      <c r="B661" s="38"/>
      <c r="AY661" s="39"/>
      <c r="AZ661" s="39"/>
      <c r="BA661" s="39"/>
      <c r="BK661" s="39"/>
    </row>
    <row r="662" spans="2:63" x14ac:dyDescent="0.2">
      <c r="B662" s="38"/>
      <c r="AY662" s="39"/>
      <c r="AZ662" s="39"/>
      <c r="BA662" s="39"/>
      <c r="BK662" s="39"/>
    </row>
    <row r="663" spans="2:63" x14ac:dyDescent="0.2">
      <c r="B663" s="38"/>
      <c r="AY663" s="39"/>
      <c r="AZ663" s="39"/>
      <c r="BA663" s="39"/>
      <c r="BK663" s="39"/>
    </row>
    <row r="664" spans="2:63" x14ac:dyDescent="0.2">
      <c r="B664" s="38"/>
      <c r="AY664" s="39"/>
      <c r="AZ664" s="39"/>
      <c r="BA664" s="39"/>
      <c r="BK664" s="39"/>
    </row>
    <row r="665" spans="2:63" x14ac:dyDescent="0.2">
      <c r="B665" s="38"/>
      <c r="AY665" s="39"/>
      <c r="AZ665" s="39"/>
      <c r="BA665" s="39"/>
      <c r="BK665" s="39"/>
    </row>
    <row r="666" spans="2:63" x14ac:dyDescent="0.2">
      <c r="B666" s="38"/>
      <c r="AY666" s="39"/>
      <c r="AZ666" s="39"/>
      <c r="BA666" s="39"/>
      <c r="BK666" s="39"/>
    </row>
    <row r="667" spans="2:63" x14ac:dyDescent="0.2">
      <c r="B667" s="38"/>
      <c r="AY667" s="39"/>
      <c r="AZ667" s="39"/>
      <c r="BA667" s="39"/>
      <c r="BK667" s="39"/>
    </row>
    <row r="668" spans="2:63" x14ac:dyDescent="0.2">
      <c r="B668" s="38"/>
      <c r="AY668" s="39"/>
      <c r="AZ668" s="39"/>
      <c r="BA668" s="39"/>
      <c r="BK668" s="39"/>
    </row>
    <row r="669" spans="2:63" x14ac:dyDescent="0.2">
      <c r="B669" s="38"/>
      <c r="AY669" s="39"/>
      <c r="AZ669" s="39"/>
      <c r="BA669" s="39"/>
      <c r="BK669" s="39"/>
    </row>
    <row r="670" spans="2:63" x14ac:dyDescent="0.2">
      <c r="B670" s="38"/>
      <c r="AY670" s="39"/>
      <c r="AZ670" s="39"/>
      <c r="BA670" s="39"/>
      <c r="BK670" s="39"/>
    </row>
    <row r="671" spans="2:63" x14ac:dyDescent="0.2">
      <c r="B671" s="38"/>
      <c r="AY671" s="39"/>
      <c r="AZ671" s="39"/>
      <c r="BA671" s="39"/>
      <c r="BK671" s="39"/>
    </row>
    <row r="672" spans="2:63" x14ac:dyDescent="0.2">
      <c r="B672" s="38"/>
      <c r="AY672" s="39"/>
      <c r="AZ672" s="39"/>
      <c r="BA672" s="39"/>
      <c r="BK672" s="39"/>
    </row>
    <row r="673" spans="2:63" x14ac:dyDescent="0.2">
      <c r="B673" s="38"/>
      <c r="AY673" s="39"/>
      <c r="AZ673" s="39"/>
      <c r="BA673" s="39"/>
      <c r="BK673" s="39"/>
    </row>
    <row r="674" spans="2:63" x14ac:dyDescent="0.2">
      <c r="B674" s="38"/>
      <c r="AY674" s="39"/>
      <c r="AZ674" s="39"/>
      <c r="BA674" s="39"/>
      <c r="BK674" s="39"/>
    </row>
    <row r="675" spans="2:63" x14ac:dyDescent="0.2">
      <c r="B675" s="38"/>
      <c r="AY675" s="39"/>
      <c r="AZ675" s="39"/>
      <c r="BA675" s="39"/>
      <c r="BK675" s="39"/>
    </row>
    <row r="676" spans="2:63" x14ac:dyDescent="0.2">
      <c r="B676" s="38"/>
      <c r="AY676" s="39"/>
      <c r="AZ676" s="39"/>
      <c r="BA676" s="39"/>
      <c r="BK676" s="39"/>
    </row>
    <row r="677" spans="2:63" x14ac:dyDescent="0.2">
      <c r="B677" s="38"/>
      <c r="AY677" s="39"/>
      <c r="AZ677" s="39"/>
      <c r="BA677" s="39"/>
      <c r="BK677" s="39"/>
    </row>
    <row r="678" spans="2:63" x14ac:dyDescent="0.2">
      <c r="B678" s="38"/>
      <c r="AY678" s="39"/>
      <c r="AZ678" s="39"/>
      <c r="BA678" s="39"/>
      <c r="BK678" s="39"/>
    </row>
    <row r="679" spans="2:63" x14ac:dyDescent="0.2">
      <c r="B679" s="38"/>
      <c r="AY679" s="39"/>
      <c r="AZ679" s="39"/>
      <c r="BA679" s="39"/>
      <c r="BK679" s="39"/>
    </row>
    <row r="680" spans="2:63" x14ac:dyDescent="0.2">
      <c r="B680" s="38"/>
      <c r="AY680" s="39"/>
      <c r="AZ680" s="39"/>
      <c r="BA680" s="39"/>
      <c r="BK680" s="39"/>
    </row>
    <row r="681" spans="2:63" x14ac:dyDescent="0.2">
      <c r="B681" s="38"/>
      <c r="AY681" s="39"/>
      <c r="AZ681" s="39"/>
      <c r="BA681" s="39"/>
      <c r="BK681" s="39"/>
    </row>
    <row r="682" spans="2:63" x14ac:dyDescent="0.2">
      <c r="B682" s="38"/>
      <c r="AY682" s="39"/>
      <c r="AZ682" s="39"/>
      <c r="BA682" s="39"/>
      <c r="BK682" s="39"/>
    </row>
    <row r="683" spans="2:63" x14ac:dyDescent="0.2">
      <c r="B683" s="38"/>
      <c r="AY683" s="39"/>
      <c r="AZ683" s="39"/>
      <c r="BA683" s="39"/>
      <c r="BK683" s="39"/>
    </row>
    <row r="684" spans="2:63" x14ac:dyDescent="0.2">
      <c r="B684" s="38"/>
      <c r="AY684" s="39"/>
      <c r="AZ684" s="39"/>
      <c r="BA684" s="39"/>
      <c r="BK684" s="39"/>
    </row>
    <row r="685" spans="2:63" x14ac:dyDescent="0.2">
      <c r="B685" s="38"/>
      <c r="AY685" s="39"/>
      <c r="AZ685" s="39"/>
      <c r="BA685" s="39"/>
      <c r="BK685" s="39"/>
    </row>
    <row r="686" spans="2:63" x14ac:dyDescent="0.2">
      <c r="B686" s="38"/>
      <c r="AY686" s="39"/>
      <c r="AZ686" s="39"/>
      <c r="BA686" s="39"/>
      <c r="BK686" s="39"/>
    </row>
    <row r="687" spans="2:63" x14ac:dyDescent="0.2">
      <c r="B687" s="38"/>
      <c r="AY687" s="39"/>
      <c r="AZ687" s="39"/>
      <c r="BA687" s="39"/>
      <c r="BK687" s="39"/>
    </row>
    <row r="688" spans="2:63" x14ac:dyDescent="0.2">
      <c r="B688" s="38"/>
      <c r="AY688" s="39"/>
      <c r="AZ688" s="39"/>
      <c r="BA688" s="39"/>
      <c r="BK688" s="39"/>
    </row>
    <row r="689" spans="2:63" x14ac:dyDescent="0.2">
      <c r="B689" s="38"/>
      <c r="AY689" s="39"/>
      <c r="AZ689" s="39"/>
      <c r="BA689" s="39"/>
      <c r="BK689" s="39"/>
    </row>
    <row r="690" spans="2:63" x14ac:dyDescent="0.2">
      <c r="B690" s="38"/>
      <c r="AY690" s="39"/>
      <c r="AZ690" s="39"/>
      <c r="BA690" s="39"/>
      <c r="BK690" s="39"/>
    </row>
    <row r="691" spans="2:63" x14ac:dyDescent="0.2">
      <c r="B691" s="38"/>
      <c r="AY691" s="39"/>
      <c r="AZ691" s="39"/>
      <c r="BA691" s="39"/>
      <c r="BK691" s="39"/>
    </row>
    <row r="692" spans="2:63" x14ac:dyDescent="0.2">
      <c r="B692" s="38"/>
      <c r="AY692" s="39"/>
      <c r="AZ692" s="39"/>
      <c r="BA692" s="39"/>
      <c r="BK692" s="39"/>
    </row>
    <row r="693" spans="2:63" x14ac:dyDescent="0.2">
      <c r="B693" s="38"/>
      <c r="AY693" s="39"/>
      <c r="AZ693" s="39"/>
      <c r="BA693" s="39"/>
      <c r="BK693" s="39"/>
    </row>
    <row r="694" spans="2:63" x14ac:dyDescent="0.2">
      <c r="B694" s="38"/>
      <c r="AY694" s="39"/>
      <c r="AZ694" s="39"/>
      <c r="BA694" s="39"/>
      <c r="BK694" s="39"/>
    </row>
    <row r="695" spans="2:63" x14ac:dyDescent="0.2">
      <c r="B695" s="38"/>
      <c r="AY695" s="39"/>
      <c r="AZ695" s="39"/>
      <c r="BA695" s="39"/>
      <c r="BK695" s="39"/>
    </row>
    <row r="696" spans="2:63" x14ac:dyDescent="0.2">
      <c r="B696" s="38"/>
      <c r="AY696" s="39"/>
      <c r="AZ696" s="39"/>
      <c r="BA696" s="39"/>
      <c r="BK696" s="39"/>
    </row>
    <row r="697" spans="2:63" x14ac:dyDescent="0.2">
      <c r="B697" s="38"/>
      <c r="AY697" s="39"/>
      <c r="AZ697" s="39"/>
      <c r="BA697" s="39"/>
      <c r="BK697" s="39"/>
    </row>
    <row r="698" spans="2:63" x14ac:dyDescent="0.2">
      <c r="B698" s="38"/>
      <c r="AY698" s="39"/>
      <c r="AZ698" s="39"/>
      <c r="BA698" s="39"/>
      <c r="BK698" s="39"/>
    </row>
    <row r="699" spans="2:63" x14ac:dyDescent="0.2">
      <c r="B699" s="38"/>
      <c r="AY699" s="39"/>
      <c r="AZ699" s="39"/>
      <c r="BA699" s="39"/>
      <c r="BK699" s="39"/>
    </row>
    <row r="700" spans="2:63" x14ac:dyDescent="0.2">
      <c r="B700" s="38"/>
      <c r="AY700" s="39"/>
      <c r="AZ700" s="39"/>
      <c r="BA700" s="39"/>
      <c r="BK700" s="39"/>
    </row>
    <row r="701" spans="2:63" x14ac:dyDescent="0.2">
      <c r="B701" s="38"/>
      <c r="AY701" s="39"/>
      <c r="AZ701" s="39"/>
      <c r="BA701" s="39"/>
      <c r="BK701" s="39"/>
    </row>
    <row r="702" spans="2:63" x14ac:dyDescent="0.2">
      <c r="B702" s="38"/>
      <c r="AY702" s="39"/>
      <c r="AZ702" s="39"/>
      <c r="BA702" s="39"/>
      <c r="BK702" s="39"/>
    </row>
    <row r="703" spans="2:63" x14ac:dyDescent="0.2">
      <c r="B703" s="38"/>
      <c r="AY703" s="39"/>
      <c r="AZ703" s="39"/>
      <c r="BA703" s="39"/>
      <c r="BK703" s="39"/>
    </row>
    <row r="704" spans="2:63" x14ac:dyDescent="0.2">
      <c r="B704" s="38"/>
      <c r="AY704" s="39"/>
      <c r="AZ704" s="39"/>
      <c r="BA704" s="39"/>
      <c r="BK704" s="39"/>
    </row>
    <row r="705" spans="2:63" x14ac:dyDescent="0.2">
      <c r="B705" s="38"/>
      <c r="AY705" s="39"/>
      <c r="AZ705" s="39"/>
      <c r="BA705" s="39"/>
      <c r="BK705" s="39"/>
    </row>
    <row r="706" spans="2:63" x14ac:dyDescent="0.2">
      <c r="B706" s="38"/>
      <c r="AY706" s="39"/>
      <c r="AZ706" s="39"/>
      <c r="BA706" s="39"/>
      <c r="BK706" s="39"/>
    </row>
    <row r="707" spans="2:63" x14ac:dyDescent="0.2">
      <c r="B707" s="38"/>
      <c r="AY707" s="39"/>
      <c r="AZ707" s="39"/>
      <c r="BA707" s="39"/>
      <c r="BK707" s="39"/>
    </row>
    <row r="708" spans="2:63" x14ac:dyDescent="0.2">
      <c r="B708" s="38"/>
      <c r="AY708" s="39"/>
      <c r="AZ708" s="39"/>
      <c r="BA708" s="39"/>
      <c r="BK708" s="39"/>
    </row>
    <row r="709" spans="2:63" x14ac:dyDescent="0.2">
      <c r="B709" s="38"/>
      <c r="AY709" s="39"/>
      <c r="AZ709" s="39"/>
      <c r="BA709" s="39"/>
      <c r="BK709" s="39"/>
    </row>
    <row r="710" spans="2:63" x14ac:dyDescent="0.2">
      <c r="B710" s="38"/>
      <c r="AY710" s="39"/>
      <c r="AZ710" s="39"/>
      <c r="BA710" s="39"/>
      <c r="BK710" s="39"/>
    </row>
    <row r="711" spans="2:63" x14ac:dyDescent="0.2">
      <c r="B711" s="38"/>
      <c r="AY711" s="39"/>
      <c r="AZ711" s="39"/>
      <c r="BA711" s="39"/>
      <c r="BK711" s="39"/>
    </row>
    <row r="712" spans="2:63" x14ac:dyDescent="0.2">
      <c r="B712" s="38"/>
      <c r="AY712" s="39"/>
      <c r="AZ712" s="39"/>
      <c r="BA712" s="39"/>
      <c r="BK712" s="39"/>
    </row>
    <row r="713" spans="2:63" x14ac:dyDescent="0.2">
      <c r="B713" s="38"/>
      <c r="AY713" s="39"/>
      <c r="AZ713" s="39"/>
      <c r="BA713" s="39"/>
      <c r="BK713" s="39"/>
    </row>
    <row r="714" spans="2:63" x14ac:dyDescent="0.2">
      <c r="B714" s="38"/>
      <c r="AY714" s="39"/>
      <c r="AZ714" s="39"/>
      <c r="BA714" s="39"/>
      <c r="BK714" s="39"/>
    </row>
    <row r="715" spans="2:63" x14ac:dyDescent="0.2">
      <c r="B715" s="38"/>
      <c r="AY715" s="39"/>
      <c r="AZ715" s="39"/>
      <c r="BA715" s="39"/>
      <c r="BK715" s="39"/>
    </row>
    <row r="716" spans="2:63" x14ac:dyDescent="0.2">
      <c r="B716" s="38"/>
      <c r="AY716" s="39"/>
      <c r="AZ716" s="39"/>
      <c r="BA716" s="39"/>
      <c r="BK716" s="39"/>
    </row>
    <row r="717" spans="2:63" x14ac:dyDescent="0.2">
      <c r="B717" s="38"/>
      <c r="AY717" s="39"/>
      <c r="AZ717" s="39"/>
      <c r="BA717" s="39"/>
      <c r="BK717" s="39"/>
    </row>
    <row r="718" spans="2:63" x14ac:dyDescent="0.2">
      <c r="B718" s="38"/>
      <c r="AY718" s="39"/>
      <c r="AZ718" s="39"/>
      <c r="BA718" s="39"/>
      <c r="BK718" s="39"/>
    </row>
    <row r="719" spans="2:63" x14ac:dyDescent="0.2">
      <c r="B719" s="38"/>
      <c r="AY719" s="39"/>
      <c r="AZ719" s="39"/>
      <c r="BA719" s="39"/>
      <c r="BK719" s="39"/>
    </row>
    <row r="720" spans="2:63" x14ac:dyDescent="0.2">
      <c r="B720" s="38"/>
      <c r="AY720" s="39"/>
      <c r="AZ720" s="39"/>
      <c r="BA720" s="39"/>
      <c r="BK720" s="39"/>
    </row>
    <row r="721" spans="2:63" x14ac:dyDescent="0.2">
      <c r="B721" s="38"/>
      <c r="AY721" s="39"/>
      <c r="AZ721" s="39"/>
      <c r="BA721" s="39"/>
      <c r="BK721" s="39"/>
    </row>
    <row r="722" spans="2:63" x14ac:dyDescent="0.2">
      <c r="B722" s="38"/>
      <c r="AY722" s="39"/>
      <c r="AZ722" s="39"/>
      <c r="BA722" s="39"/>
      <c r="BK722" s="39"/>
    </row>
    <row r="723" spans="2:63" x14ac:dyDescent="0.2">
      <c r="B723" s="38"/>
      <c r="AY723" s="39"/>
      <c r="AZ723" s="39"/>
      <c r="BA723" s="39"/>
      <c r="BK723" s="39"/>
    </row>
    <row r="724" spans="2:63" x14ac:dyDescent="0.2">
      <c r="B724" s="38"/>
      <c r="AY724" s="39"/>
      <c r="AZ724" s="39"/>
      <c r="BA724" s="39"/>
      <c r="BK724" s="39"/>
    </row>
    <row r="725" spans="2:63" x14ac:dyDescent="0.2">
      <c r="B725" s="38"/>
      <c r="AY725" s="39"/>
      <c r="AZ725" s="39"/>
      <c r="BA725" s="39"/>
      <c r="BK725" s="39"/>
    </row>
    <row r="726" spans="2:63" x14ac:dyDescent="0.2">
      <c r="B726" s="38"/>
      <c r="AY726" s="39"/>
      <c r="AZ726" s="39"/>
      <c r="BA726" s="39"/>
      <c r="BK726" s="39"/>
    </row>
    <row r="727" spans="2:63" x14ac:dyDescent="0.2">
      <c r="B727" s="38"/>
      <c r="AY727" s="39"/>
      <c r="AZ727" s="39"/>
      <c r="BA727" s="39"/>
      <c r="BK727" s="39"/>
    </row>
    <row r="728" spans="2:63" x14ac:dyDescent="0.2">
      <c r="B728" s="38"/>
      <c r="AY728" s="39"/>
      <c r="AZ728" s="39"/>
      <c r="BA728" s="39"/>
      <c r="BK728" s="39"/>
    </row>
    <row r="729" spans="2:63" x14ac:dyDescent="0.2">
      <c r="B729" s="38"/>
      <c r="AY729" s="39"/>
      <c r="AZ729" s="39"/>
      <c r="BA729" s="39"/>
      <c r="BK729" s="39"/>
    </row>
    <row r="730" spans="2:63" x14ac:dyDescent="0.2">
      <c r="B730" s="38"/>
      <c r="AY730" s="39"/>
      <c r="AZ730" s="39"/>
      <c r="BA730" s="39"/>
      <c r="BK730" s="39"/>
    </row>
    <row r="731" spans="2:63" x14ac:dyDescent="0.2">
      <c r="B731" s="38"/>
      <c r="AY731" s="39"/>
      <c r="AZ731" s="39"/>
      <c r="BA731" s="39"/>
      <c r="BK731" s="39"/>
    </row>
    <row r="732" spans="2:63" x14ac:dyDescent="0.2">
      <c r="B732" s="38"/>
      <c r="AY732" s="39"/>
      <c r="AZ732" s="39"/>
      <c r="BA732" s="39"/>
      <c r="BK732" s="39"/>
    </row>
    <row r="733" spans="2:63" x14ac:dyDescent="0.2">
      <c r="B733" s="38"/>
      <c r="AY733" s="39"/>
      <c r="AZ733" s="39"/>
      <c r="BA733" s="39"/>
      <c r="BK733" s="39"/>
    </row>
    <row r="734" spans="2:63" x14ac:dyDescent="0.2">
      <c r="B734" s="38"/>
      <c r="AY734" s="39"/>
      <c r="AZ734" s="39"/>
      <c r="BA734" s="39"/>
      <c r="BK734" s="39"/>
    </row>
    <row r="735" spans="2:63" x14ac:dyDescent="0.2">
      <c r="B735" s="38"/>
      <c r="AY735" s="39"/>
      <c r="AZ735" s="39"/>
      <c r="BA735" s="39"/>
      <c r="BK735" s="39"/>
    </row>
    <row r="736" spans="2:63" x14ac:dyDescent="0.2">
      <c r="B736" s="38"/>
      <c r="AY736" s="39"/>
      <c r="AZ736" s="39"/>
      <c r="BA736" s="39"/>
      <c r="BK736" s="39"/>
    </row>
    <row r="737" spans="2:63" x14ac:dyDescent="0.2">
      <c r="B737" s="38"/>
      <c r="AY737" s="39"/>
      <c r="AZ737" s="39"/>
      <c r="BA737" s="39"/>
      <c r="BK737" s="39"/>
    </row>
    <row r="738" spans="2:63" x14ac:dyDescent="0.2">
      <c r="B738" s="38"/>
      <c r="AY738" s="39"/>
      <c r="AZ738" s="39"/>
      <c r="BA738" s="39"/>
      <c r="BK738" s="39"/>
    </row>
    <row r="739" spans="2:63" x14ac:dyDescent="0.2">
      <c r="B739" s="38"/>
      <c r="AY739" s="39"/>
      <c r="AZ739" s="39"/>
      <c r="BA739" s="39"/>
      <c r="BK739" s="39"/>
    </row>
    <row r="740" spans="2:63" x14ac:dyDescent="0.2">
      <c r="B740" s="38"/>
      <c r="AY740" s="39"/>
      <c r="AZ740" s="39"/>
      <c r="BA740" s="39"/>
      <c r="BK740" s="39"/>
    </row>
    <row r="741" spans="2:63" x14ac:dyDescent="0.2">
      <c r="B741" s="38"/>
      <c r="AY741" s="39"/>
      <c r="AZ741" s="39"/>
      <c r="BA741" s="39"/>
      <c r="BK741" s="39"/>
    </row>
    <row r="742" spans="2:63" x14ac:dyDescent="0.2">
      <c r="B742" s="38"/>
      <c r="AY742" s="39"/>
      <c r="AZ742" s="39"/>
      <c r="BA742" s="39"/>
      <c r="BK742" s="39"/>
    </row>
    <row r="743" spans="2:63" x14ac:dyDescent="0.2">
      <c r="B743" s="38"/>
      <c r="AY743" s="39"/>
      <c r="AZ743" s="39"/>
      <c r="BA743" s="39"/>
      <c r="BK743" s="39"/>
    </row>
    <row r="744" spans="2:63" x14ac:dyDescent="0.2">
      <c r="B744" s="38"/>
      <c r="AY744" s="39"/>
      <c r="AZ744" s="39"/>
      <c r="BA744" s="39"/>
      <c r="BK744" s="39"/>
    </row>
    <row r="745" spans="2:63" x14ac:dyDescent="0.2">
      <c r="B745" s="38"/>
      <c r="AY745" s="39"/>
      <c r="AZ745" s="39"/>
      <c r="BA745" s="39"/>
      <c r="BK745" s="39"/>
    </row>
    <row r="746" spans="2:63" x14ac:dyDescent="0.2">
      <c r="B746" s="38"/>
      <c r="AY746" s="39"/>
      <c r="AZ746" s="39"/>
      <c r="BA746" s="39"/>
      <c r="BK746" s="39"/>
    </row>
    <row r="747" spans="2:63" x14ac:dyDescent="0.2">
      <c r="B747" s="38"/>
      <c r="AY747" s="39"/>
      <c r="AZ747" s="39"/>
      <c r="BA747" s="39"/>
      <c r="BK747" s="39"/>
    </row>
    <row r="748" spans="2:63" x14ac:dyDescent="0.2">
      <c r="B748" s="38"/>
      <c r="AY748" s="39"/>
      <c r="AZ748" s="39"/>
      <c r="BA748" s="39"/>
      <c r="BK748" s="39"/>
    </row>
    <row r="749" spans="2:63" x14ac:dyDescent="0.2">
      <c r="B749" s="38"/>
      <c r="AY749" s="39"/>
      <c r="AZ749" s="39"/>
      <c r="BA749" s="39"/>
      <c r="BK749" s="39"/>
    </row>
    <row r="750" spans="2:63" x14ac:dyDescent="0.2">
      <c r="B750" s="38"/>
      <c r="AY750" s="39"/>
      <c r="AZ750" s="39"/>
      <c r="BA750" s="39"/>
      <c r="BK750" s="39"/>
    </row>
    <row r="751" spans="2:63" x14ac:dyDescent="0.2">
      <c r="B751" s="38"/>
      <c r="AY751" s="39"/>
      <c r="AZ751" s="39"/>
      <c r="BA751" s="39"/>
      <c r="BK751" s="39"/>
    </row>
    <row r="752" spans="2:63" x14ac:dyDescent="0.2">
      <c r="B752" s="38"/>
      <c r="AY752" s="39"/>
      <c r="AZ752" s="39"/>
      <c r="BA752" s="39"/>
      <c r="BK752" s="39"/>
    </row>
    <row r="753" spans="2:63" x14ac:dyDescent="0.2">
      <c r="B753" s="38"/>
      <c r="AY753" s="39"/>
      <c r="AZ753" s="39"/>
      <c r="BA753" s="39"/>
      <c r="BK753" s="39"/>
    </row>
    <row r="754" spans="2:63" x14ac:dyDescent="0.2">
      <c r="B754" s="38"/>
      <c r="AY754" s="39"/>
      <c r="AZ754" s="39"/>
      <c r="BA754" s="39"/>
      <c r="BK754" s="39"/>
    </row>
    <row r="755" spans="2:63" x14ac:dyDescent="0.2">
      <c r="B755" s="38"/>
      <c r="AY755" s="39"/>
      <c r="AZ755" s="39"/>
      <c r="BA755" s="39"/>
      <c r="BK755" s="39"/>
    </row>
    <row r="756" spans="2:63" x14ac:dyDescent="0.2">
      <c r="B756" s="38"/>
      <c r="AY756" s="39"/>
      <c r="AZ756" s="39"/>
      <c r="BA756" s="39"/>
      <c r="BK756" s="39"/>
    </row>
    <row r="757" spans="2:63" x14ac:dyDescent="0.2">
      <c r="B757" s="38"/>
      <c r="AY757" s="39"/>
      <c r="AZ757" s="39"/>
      <c r="BA757" s="39"/>
      <c r="BK757" s="39"/>
    </row>
    <row r="758" spans="2:63" x14ac:dyDescent="0.2">
      <c r="B758" s="38"/>
      <c r="AY758" s="39"/>
      <c r="AZ758" s="39"/>
      <c r="BA758" s="39"/>
      <c r="BK758" s="39"/>
    </row>
    <row r="759" spans="2:63" x14ac:dyDescent="0.2">
      <c r="B759" s="38"/>
      <c r="AY759" s="39"/>
      <c r="AZ759" s="39"/>
      <c r="BA759" s="39"/>
      <c r="BK759" s="39"/>
    </row>
    <row r="760" spans="2:63" x14ac:dyDescent="0.2">
      <c r="B760" s="38"/>
      <c r="AY760" s="39"/>
      <c r="AZ760" s="39"/>
      <c r="BA760" s="39"/>
      <c r="BK760" s="39"/>
    </row>
    <row r="761" spans="2:63" x14ac:dyDescent="0.2">
      <c r="B761" s="38"/>
      <c r="AY761" s="39"/>
      <c r="AZ761" s="39"/>
      <c r="BA761" s="39"/>
      <c r="BK761" s="39"/>
    </row>
    <row r="762" spans="2:63" x14ac:dyDescent="0.2">
      <c r="B762" s="38"/>
      <c r="AY762" s="39"/>
      <c r="AZ762" s="39"/>
      <c r="BA762" s="39"/>
      <c r="BK762" s="39"/>
    </row>
    <row r="763" spans="2:63" x14ac:dyDescent="0.2">
      <c r="B763" s="38"/>
      <c r="AY763" s="39"/>
      <c r="AZ763" s="39"/>
      <c r="BA763" s="39"/>
      <c r="BK763" s="39"/>
    </row>
    <row r="764" spans="2:63" x14ac:dyDescent="0.2">
      <c r="B764" s="38"/>
      <c r="AY764" s="39"/>
      <c r="AZ764" s="39"/>
      <c r="BA764" s="39"/>
      <c r="BK764" s="39"/>
    </row>
    <row r="765" spans="2:63" x14ac:dyDescent="0.2">
      <c r="B765" s="38"/>
      <c r="AY765" s="39"/>
      <c r="AZ765" s="39"/>
      <c r="BA765" s="39"/>
      <c r="BK765" s="39"/>
    </row>
    <row r="766" spans="2:63" x14ac:dyDescent="0.2">
      <c r="B766" s="38"/>
      <c r="AY766" s="39"/>
      <c r="AZ766" s="39"/>
      <c r="BA766" s="39"/>
      <c r="BK766" s="39"/>
    </row>
    <row r="767" spans="2:63" x14ac:dyDescent="0.2">
      <c r="B767" s="38"/>
      <c r="AY767" s="39"/>
      <c r="AZ767" s="39"/>
      <c r="BA767" s="39"/>
      <c r="BK767" s="39"/>
    </row>
    <row r="768" spans="2:63" x14ac:dyDescent="0.2">
      <c r="B768" s="38"/>
      <c r="AY768" s="39"/>
      <c r="AZ768" s="39"/>
      <c r="BA768" s="39"/>
      <c r="BK768" s="39"/>
    </row>
    <row r="769" spans="2:63" x14ac:dyDescent="0.2">
      <c r="B769" s="38"/>
      <c r="AY769" s="39"/>
      <c r="AZ769" s="39"/>
      <c r="BA769" s="39"/>
      <c r="BK769" s="39"/>
    </row>
    <row r="770" spans="2:63" x14ac:dyDescent="0.2">
      <c r="B770" s="38"/>
      <c r="AY770" s="39"/>
      <c r="AZ770" s="39"/>
      <c r="BA770" s="39"/>
      <c r="BK770" s="39"/>
    </row>
    <row r="771" spans="2:63" x14ac:dyDescent="0.2">
      <c r="B771" s="38"/>
      <c r="AY771" s="39"/>
      <c r="AZ771" s="39"/>
      <c r="BA771" s="39"/>
      <c r="BK771" s="39"/>
    </row>
    <row r="772" spans="2:63" x14ac:dyDescent="0.2">
      <c r="B772" s="38"/>
      <c r="AY772" s="39"/>
      <c r="AZ772" s="39"/>
      <c r="BA772" s="39"/>
      <c r="BK772" s="39"/>
    </row>
    <row r="773" spans="2:63" x14ac:dyDescent="0.2">
      <c r="B773" s="38"/>
      <c r="AY773" s="39"/>
      <c r="AZ773" s="39"/>
      <c r="BA773" s="39"/>
      <c r="BK773" s="39"/>
    </row>
    <row r="774" spans="2:63" x14ac:dyDescent="0.2">
      <c r="B774" s="38"/>
      <c r="AY774" s="39"/>
      <c r="AZ774" s="39"/>
      <c r="BA774" s="39"/>
      <c r="BK774" s="39"/>
    </row>
    <row r="775" spans="2:63" x14ac:dyDescent="0.2">
      <c r="B775" s="38"/>
      <c r="AY775" s="39"/>
      <c r="AZ775" s="39"/>
      <c r="BA775" s="39"/>
      <c r="BK775" s="39"/>
    </row>
    <row r="776" spans="2:63" x14ac:dyDescent="0.2">
      <c r="B776" s="38"/>
      <c r="AY776" s="39"/>
      <c r="AZ776" s="39"/>
      <c r="BA776" s="39"/>
      <c r="BK776" s="39"/>
    </row>
    <row r="777" spans="2:63" x14ac:dyDescent="0.2">
      <c r="B777" s="38"/>
      <c r="AY777" s="39"/>
      <c r="AZ777" s="39"/>
      <c r="BA777" s="39"/>
      <c r="BK777" s="39"/>
    </row>
    <row r="778" spans="2:63" x14ac:dyDescent="0.2">
      <c r="B778" s="38"/>
      <c r="AY778" s="39"/>
      <c r="AZ778" s="39"/>
      <c r="BA778" s="39"/>
      <c r="BK778" s="39"/>
    </row>
    <row r="779" spans="2:63" x14ac:dyDescent="0.2">
      <c r="B779" s="38"/>
      <c r="AY779" s="39"/>
      <c r="AZ779" s="39"/>
      <c r="BA779" s="39"/>
      <c r="BK779" s="39"/>
    </row>
    <row r="780" spans="2:63" x14ac:dyDescent="0.2">
      <c r="B780" s="38"/>
      <c r="AY780" s="39"/>
      <c r="AZ780" s="39"/>
      <c r="BA780" s="39"/>
      <c r="BK780" s="39"/>
    </row>
    <row r="781" spans="2:63" x14ac:dyDescent="0.2">
      <c r="B781" s="38"/>
      <c r="AY781" s="39"/>
      <c r="AZ781" s="39"/>
      <c r="BA781" s="39"/>
      <c r="BK781" s="39"/>
    </row>
    <row r="782" spans="2:63" x14ac:dyDescent="0.2">
      <c r="B782" s="38"/>
      <c r="AY782" s="39"/>
      <c r="AZ782" s="39"/>
      <c r="BA782" s="39"/>
      <c r="BK782" s="39"/>
    </row>
    <row r="783" spans="2:63" x14ac:dyDescent="0.2">
      <c r="B783" s="38"/>
      <c r="AY783" s="39"/>
      <c r="AZ783" s="39"/>
      <c r="BA783" s="39"/>
      <c r="BK783" s="39"/>
    </row>
    <row r="784" spans="2:63" x14ac:dyDescent="0.2">
      <c r="B784" s="38"/>
      <c r="AY784" s="39"/>
      <c r="AZ784" s="39"/>
      <c r="BA784" s="39"/>
      <c r="BK784" s="39"/>
    </row>
    <row r="785" spans="2:63" x14ac:dyDescent="0.2">
      <c r="B785" s="38"/>
      <c r="AY785" s="39"/>
      <c r="AZ785" s="39"/>
      <c r="BA785" s="39"/>
      <c r="BK785" s="39"/>
    </row>
    <row r="786" spans="2:63" x14ac:dyDescent="0.2">
      <c r="B786" s="38"/>
      <c r="AY786" s="39"/>
      <c r="AZ786" s="39"/>
      <c r="BA786" s="39"/>
      <c r="BK786" s="39"/>
    </row>
    <row r="787" spans="2:63" x14ac:dyDescent="0.2">
      <c r="B787" s="38"/>
      <c r="AY787" s="39"/>
      <c r="AZ787" s="39"/>
      <c r="BA787" s="39"/>
      <c r="BK787" s="39"/>
    </row>
    <row r="788" spans="2:63" x14ac:dyDescent="0.2">
      <c r="B788" s="38"/>
      <c r="AY788" s="39"/>
      <c r="AZ788" s="39"/>
      <c r="BA788" s="39"/>
      <c r="BK788" s="39"/>
    </row>
    <row r="789" spans="2:63" x14ac:dyDescent="0.2">
      <c r="B789" s="38"/>
      <c r="AY789" s="39"/>
      <c r="AZ789" s="39"/>
      <c r="BA789" s="39"/>
      <c r="BK789" s="39"/>
    </row>
    <row r="790" spans="2:63" x14ac:dyDescent="0.2">
      <c r="B790" s="38"/>
      <c r="AY790" s="39"/>
      <c r="AZ790" s="39"/>
      <c r="BA790" s="39"/>
      <c r="BK790" s="39"/>
    </row>
    <row r="791" spans="2:63" x14ac:dyDescent="0.2">
      <c r="B791" s="38"/>
      <c r="AY791" s="39"/>
      <c r="AZ791" s="39"/>
      <c r="BA791" s="39"/>
      <c r="BK791" s="39"/>
    </row>
    <row r="792" spans="2:63" x14ac:dyDescent="0.2">
      <c r="B792" s="38"/>
      <c r="AY792" s="39"/>
      <c r="AZ792" s="39"/>
      <c r="BA792" s="39"/>
      <c r="BK792" s="39"/>
    </row>
    <row r="793" spans="2:63" x14ac:dyDescent="0.2">
      <c r="B793" s="38"/>
      <c r="AY793" s="39"/>
      <c r="AZ793" s="39"/>
      <c r="BA793" s="39"/>
      <c r="BK793" s="39"/>
    </row>
    <row r="794" spans="2:63" x14ac:dyDescent="0.2">
      <c r="B794" s="38"/>
      <c r="AY794" s="39"/>
      <c r="AZ794" s="39"/>
      <c r="BA794" s="39"/>
      <c r="BK794" s="39"/>
    </row>
    <row r="795" spans="2:63" x14ac:dyDescent="0.2">
      <c r="B795" s="38"/>
      <c r="AY795" s="39"/>
      <c r="AZ795" s="39"/>
      <c r="BA795" s="39"/>
      <c r="BK795" s="39"/>
    </row>
    <row r="796" spans="2:63" x14ac:dyDescent="0.2">
      <c r="B796" s="38"/>
      <c r="AY796" s="39"/>
      <c r="AZ796" s="39"/>
      <c r="BA796" s="39"/>
      <c r="BK796" s="39"/>
    </row>
    <row r="797" spans="2:63" x14ac:dyDescent="0.2">
      <c r="B797" s="38"/>
      <c r="AY797" s="39"/>
      <c r="AZ797" s="39"/>
      <c r="BA797" s="39"/>
      <c r="BK797" s="39"/>
    </row>
    <row r="798" spans="2:63" x14ac:dyDescent="0.2">
      <c r="B798" s="38"/>
      <c r="AY798" s="39"/>
      <c r="AZ798" s="39"/>
      <c r="BA798" s="39"/>
      <c r="BK798" s="39"/>
    </row>
    <row r="799" spans="2:63" x14ac:dyDescent="0.2">
      <c r="B799" s="38"/>
      <c r="AY799" s="39"/>
      <c r="AZ799" s="39"/>
      <c r="BA799" s="39"/>
      <c r="BK799" s="39"/>
    </row>
    <row r="800" spans="2:63" x14ac:dyDescent="0.2">
      <c r="B800" s="38"/>
      <c r="AY800" s="39"/>
      <c r="AZ800" s="39"/>
      <c r="BA800" s="39"/>
      <c r="BK800" s="39"/>
    </row>
    <row r="801" spans="2:63" x14ac:dyDescent="0.2">
      <c r="B801" s="38"/>
      <c r="AY801" s="39"/>
      <c r="AZ801" s="39"/>
      <c r="BA801" s="39"/>
      <c r="BK801" s="39"/>
    </row>
    <row r="802" spans="2:63" x14ac:dyDescent="0.2">
      <c r="B802" s="38"/>
      <c r="AY802" s="39"/>
      <c r="AZ802" s="39"/>
      <c r="BA802" s="39"/>
      <c r="BK802" s="39"/>
    </row>
    <row r="803" spans="2:63" x14ac:dyDescent="0.2">
      <c r="B803" s="38"/>
      <c r="AY803" s="39"/>
      <c r="AZ803" s="39"/>
      <c r="BA803" s="39"/>
      <c r="BK803" s="39"/>
    </row>
    <row r="804" spans="2:63" x14ac:dyDescent="0.2">
      <c r="B804" s="38"/>
      <c r="AY804" s="39"/>
      <c r="AZ804" s="39"/>
      <c r="BA804" s="39"/>
      <c r="BK804" s="39"/>
    </row>
    <row r="805" spans="2:63" x14ac:dyDescent="0.2">
      <c r="B805" s="38"/>
      <c r="AY805" s="39"/>
      <c r="AZ805" s="39"/>
      <c r="BA805" s="39"/>
      <c r="BK805" s="39"/>
    </row>
    <row r="806" spans="2:63" x14ac:dyDescent="0.2">
      <c r="B806" s="38"/>
      <c r="AY806" s="39"/>
      <c r="AZ806" s="39"/>
      <c r="BA806" s="39"/>
      <c r="BK806" s="39"/>
    </row>
    <row r="807" spans="2:63" x14ac:dyDescent="0.2">
      <c r="B807" s="38"/>
      <c r="AY807" s="39"/>
      <c r="AZ807" s="39"/>
      <c r="BA807" s="39"/>
      <c r="BK807" s="39"/>
    </row>
    <row r="808" spans="2:63" x14ac:dyDescent="0.2">
      <c r="B808" s="38"/>
      <c r="AY808" s="39"/>
      <c r="AZ808" s="39"/>
      <c r="BA808" s="39"/>
      <c r="BK808" s="39"/>
    </row>
    <row r="809" spans="2:63" x14ac:dyDescent="0.2">
      <c r="B809" s="38"/>
      <c r="AY809" s="39"/>
      <c r="AZ809" s="39"/>
      <c r="BA809" s="39"/>
      <c r="BK809" s="39"/>
    </row>
    <row r="810" spans="2:63" x14ac:dyDescent="0.2">
      <c r="B810" s="38"/>
      <c r="AY810" s="39"/>
      <c r="AZ810" s="39"/>
      <c r="BA810" s="39"/>
      <c r="BK810" s="39"/>
    </row>
    <row r="811" spans="2:63" x14ac:dyDescent="0.2">
      <c r="B811" s="38"/>
      <c r="AY811" s="39"/>
      <c r="AZ811" s="39"/>
      <c r="BA811" s="39"/>
      <c r="BK811" s="39"/>
    </row>
    <row r="812" spans="2:63" x14ac:dyDescent="0.2">
      <c r="B812" s="38"/>
      <c r="AY812" s="39"/>
      <c r="AZ812" s="39"/>
      <c r="BA812" s="39"/>
      <c r="BK812" s="39"/>
    </row>
    <row r="813" spans="2:63" x14ac:dyDescent="0.2">
      <c r="B813" s="38"/>
      <c r="AY813" s="39"/>
      <c r="AZ813" s="39"/>
      <c r="BA813" s="39"/>
      <c r="BK813" s="39"/>
    </row>
    <row r="814" spans="2:63" x14ac:dyDescent="0.2">
      <c r="B814" s="38"/>
      <c r="AY814" s="39"/>
      <c r="AZ814" s="39"/>
      <c r="BA814" s="39"/>
      <c r="BK814" s="39"/>
    </row>
    <row r="815" spans="2:63" x14ac:dyDescent="0.2">
      <c r="B815" s="38"/>
      <c r="AY815" s="39"/>
      <c r="AZ815" s="39"/>
      <c r="BA815" s="39"/>
      <c r="BK815" s="39"/>
    </row>
    <row r="816" spans="2:63" x14ac:dyDescent="0.2">
      <c r="B816" s="38"/>
      <c r="AY816" s="39"/>
      <c r="AZ816" s="39"/>
      <c r="BA816" s="39"/>
      <c r="BK816" s="39"/>
    </row>
    <row r="817" spans="2:63" x14ac:dyDescent="0.2">
      <c r="B817" s="38"/>
      <c r="AY817" s="39"/>
      <c r="AZ817" s="39"/>
      <c r="BA817" s="39"/>
      <c r="BK817" s="39"/>
    </row>
    <row r="818" spans="2:63" x14ac:dyDescent="0.2">
      <c r="B818" s="38"/>
      <c r="AY818" s="39"/>
      <c r="AZ818" s="39"/>
      <c r="BA818" s="39"/>
      <c r="BK818" s="39"/>
    </row>
    <row r="819" spans="2:63" x14ac:dyDescent="0.2">
      <c r="B819" s="38"/>
      <c r="AY819" s="39"/>
      <c r="AZ819" s="39"/>
      <c r="BA819" s="39"/>
      <c r="BK819" s="39"/>
    </row>
    <row r="820" spans="2:63" x14ac:dyDescent="0.2">
      <c r="B820" s="38"/>
      <c r="AY820" s="39"/>
      <c r="AZ820" s="39"/>
      <c r="BA820" s="39"/>
      <c r="BK820" s="39"/>
    </row>
    <row r="821" spans="2:63" x14ac:dyDescent="0.2">
      <c r="B821" s="38"/>
      <c r="AY821" s="39"/>
      <c r="AZ821" s="39"/>
      <c r="BA821" s="39"/>
      <c r="BK821" s="39"/>
    </row>
    <row r="822" spans="2:63" x14ac:dyDescent="0.2">
      <c r="B822" s="38"/>
      <c r="AY822" s="39"/>
      <c r="AZ822" s="39"/>
      <c r="BA822" s="39"/>
      <c r="BK822" s="39"/>
    </row>
    <row r="823" spans="2:63" x14ac:dyDescent="0.2">
      <c r="B823" s="38"/>
      <c r="AY823" s="39"/>
      <c r="AZ823" s="39"/>
      <c r="BA823" s="39"/>
      <c r="BK823" s="39"/>
    </row>
    <row r="824" spans="2:63" x14ac:dyDescent="0.2">
      <c r="B824" s="38"/>
      <c r="AY824" s="39"/>
      <c r="AZ824" s="39"/>
      <c r="BA824" s="39"/>
      <c r="BK824" s="39"/>
    </row>
    <row r="825" spans="2:63" x14ac:dyDescent="0.2">
      <c r="B825" s="38"/>
      <c r="AY825" s="39"/>
      <c r="AZ825" s="39"/>
      <c r="BA825" s="39"/>
      <c r="BK825" s="39"/>
    </row>
    <row r="826" spans="2:63" x14ac:dyDescent="0.2">
      <c r="B826" s="38"/>
      <c r="AY826" s="39"/>
      <c r="AZ826" s="39"/>
      <c r="BA826" s="39"/>
      <c r="BK826" s="39"/>
    </row>
    <row r="827" spans="2:63" x14ac:dyDescent="0.2">
      <c r="B827" s="38"/>
      <c r="AY827" s="39"/>
      <c r="AZ827" s="39"/>
      <c r="BA827" s="39"/>
      <c r="BK827" s="39"/>
    </row>
    <row r="828" spans="2:63" x14ac:dyDescent="0.2">
      <c r="B828" s="38"/>
      <c r="AY828" s="39"/>
      <c r="AZ828" s="39"/>
      <c r="BA828" s="39"/>
      <c r="BK828" s="39"/>
    </row>
    <row r="829" spans="2:63" x14ac:dyDescent="0.2">
      <c r="B829" s="38"/>
      <c r="AY829" s="39"/>
      <c r="AZ829" s="39"/>
      <c r="BA829" s="39"/>
      <c r="BK829" s="39"/>
    </row>
    <row r="830" spans="2:63" x14ac:dyDescent="0.2">
      <c r="B830" s="38"/>
      <c r="AY830" s="39"/>
      <c r="AZ830" s="39"/>
      <c r="BA830" s="39"/>
      <c r="BK830" s="39"/>
    </row>
    <row r="831" spans="2:63" x14ac:dyDescent="0.2">
      <c r="B831" s="38"/>
      <c r="AY831" s="39"/>
      <c r="AZ831" s="39"/>
      <c r="BA831" s="39"/>
      <c r="BK831" s="39"/>
    </row>
    <row r="832" spans="2:63" x14ac:dyDescent="0.2">
      <c r="B832" s="38"/>
      <c r="AY832" s="39"/>
      <c r="AZ832" s="39"/>
      <c r="BA832" s="39"/>
      <c r="BK832" s="39"/>
    </row>
    <row r="833" spans="2:63" x14ac:dyDescent="0.2">
      <c r="B833" s="38"/>
      <c r="AY833" s="39"/>
      <c r="AZ833" s="39"/>
      <c r="BA833" s="39"/>
      <c r="BK833" s="39"/>
    </row>
    <row r="834" spans="2:63" x14ac:dyDescent="0.2">
      <c r="B834" s="38"/>
      <c r="AY834" s="39"/>
      <c r="AZ834" s="39"/>
      <c r="BA834" s="39"/>
      <c r="BK834" s="39"/>
    </row>
    <row r="835" spans="2:63" x14ac:dyDescent="0.2">
      <c r="B835" s="38"/>
      <c r="AY835" s="39"/>
      <c r="AZ835" s="39"/>
      <c r="BA835" s="39"/>
      <c r="BK835" s="39"/>
    </row>
    <row r="836" spans="2:63" x14ac:dyDescent="0.2">
      <c r="B836" s="38"/>
      <c r="AY836" s="39"/>
      <c r="AZ836" s="39"/>
      <c r="BA836" s="39"/>
      <c r="BK836" s="39"/>
    </row>
    <row r="837" spans="2:63" x14ac:dyDescent="0.2">
      <c r="B837" s="38"/>
      <c r="AY837" s="39"/>
      <c r="AZ837" s="39"/>
      <c r="BA837" s="39"/>
      <c r="BK837" s="39"/>
    </row>
    <row r="838" spans="2:63" x14ac:dyDescent="0.2">
      <c r="B838" s="38"/>
      <c r="AY838" s="39"/>
      <c r="AZ838" s="39"/>
      <c r="BA838" s="39"/>
      <c r="BK838" s="39"/>
    </row>
    <row r="839" spans="2:63" x14ac:dyDescent="0.2">
      <c r="B839" s="38"/>
      <c r="AY839" s="39"/>
      <c r="AZ839" s="39"/>
      <c r="BA839" s="39"/>
      <c r="BK839" s="39"/>
    </row>
    <row r="840" spans="2:63" x14ac:dyDescent="0.2">
      <c r="B840" s="38"/>
      <c r="AY840" s="39"/>
      <c r="AZ840" s="39"/>
      <c r="BA840" s="39"/>
      <c r="BK840" s="39"/>
    </row>
    <row r="841" spans="2:63" x14ac:dyDescent="0.2">
      <c r="B841" s="38"/>
      <c r="AY841" s="39"/>
      <c r="AZ841" s="39"/>
      <c r="BA841" s="39"/>
      <c r="BK841" s="39"/>
    </row>
    <row r="842" spans="2:63" x14ac:dyDescent="0.2">
      <c r="B842" s="38"/>
      <c r="AY842" s="39"/>
      <c r="AZ842" s="39"/>
      <c r="BA842" s="39"/>
      <c r="BK842" s="39"/>
    </row>
    <row r="843" spans="2:63" x14ac:dyDescent="0.2">
      <c r="B843" s="38"/>
      <c r="AY843" s="39"/>
      <c r="AZ843" s="39"/>
      <c r="BA843" s="39"/>
      <c r="BK843" s="39"/>
    </row>
    <row r="844" spans="2:63" x14ac:dyDescent="0.2">
      <c r="B844" s="38"/>
      <c r="AY844" s="39"/>
      <c r="AZ844" s="39"/>
      <c r="BA844" s="39"/>
      <c r="BK844" s="39"/>
    </row>
    <row r="845" spans="2:63" x14ac:dyDescent="0.2">
      <c r="B845" s="38"/>
      <c r="AY845" s="39"/>
      <c r="AZ845" s="39"/>
      <c r="BA845" s="39"/>
      <c r="BK845" s="39"/>
    </row>
    <row r="846" spans="2:63" x14ac:dyDescent="0.2">
      <c r="B846" s="38"/>
      <c r="AY846" s="39"/>
      <c r="AZ846" s="39"/>
      <c r="BA846" s="39"/>
      <c r="BK846" s="39"/>
    </row>
    <row r="847" spans="2:63" x14ac:dyDescent="0.2">
      <c r="B847" s="38"/>
      <c r="AY847" s="39"/>
      <c r="AZ847" s="39"/>
      <c r="BA847" s="39"/>
      <c r="BK847" s="39"/>
    </row>
    <row r="848" spans="2:63" x14ac:dyDescent="0.2">
      <c r="B848" s="38"/>
      <c r="AY848" s="39"/>
      <c r="AZ848" s="39"/>
      <c r="BA848" s="39"/>
      <c r="BK848" s="39"/>
    </row>
    <row r="849" spans="2:63" x14ac:dyDescent="0.2">
      <c r="B849" s="38"/>
      <c r="AY849" s="39"/>
      <c r="AZ849" s="39"/>
      <c r="BA849" s="39"/>
      <c r="BK849" s="39"/>
    </row>
    <row r="850" spans="2:63" x14ac:dyDescent="0.2">
      <c r="B850" s="38"/>
      <c r="AY850" s="39"/>
      <c r="AZ850" s="39"/>
      <c r="BA850" s="39"/>
      <c r="BK850" s="39"/>
    </row>
    <row r="851" spans="2:63" x14ac:dyDescent="0.2">
      <c r="B851" s="38"/>
      <c r="AY851" s="39"/>
      <c r="AZ851" s="39"/>
      <c r="BA851" s="39"/>
      <c r="BK851" s="39"/>
    </row>
    <row r="852" spans="2:63" x14ac:dyDescent="0.2">
      <c r="B852" s="38"/>
      <c r="AY852" s="39"/>
      <c r="AZ852" s="39"/>
      <c r="BA852" s="39"/>
      <c r="BK852" s="39"/>
    </row>
    <row r="853" spans="2:63" x14ac:dyDescent="0.2">
      <c r="B853" s="38"/>
      <c r="AY853" s="39"/>
      <c r="AZ853" s="39"/>
      <c r="BA853" s="39"/>
      <c r="BK853" s="39"/>
    </row>
    <row r="854" spans="2:63" x14ac:dyDescent="0.2">
      <c r="B854" s="38"/>
      <c r="AY854" s="39"/>
      <c r="AZ854" s="39"/>
      <c r="BA854" s="39"/>
      <c r="BK854" s="39"/>
    </row>
    <row r="855" spans="2:63" x14ac:dyDescent="0.2">
      <c r="B855" s="38"/>
      <c r="AY855" s="39"/>
      <c r="AZ855" s="39"/>
      <c r="BA855" s="39"/>
      <c r="BK855" s="39"/>
    </row>
    <row r="856" spans="2:63" x14ac:dyDescent="0.2">
      <c r="B856" s="38"/>
      <c r="AY856" s="39"/>
      <c r="AZ856" s="39"/>
      <c r="BA856" s="39"/>
      <c r="BK856" s="39"/>
    </row>
    <row r="857" spans="2:63" x14ac:dyDescent="0.2">
      <c r="B857" s="38"/>
      <c r="AY857" s="39"/>
      <c r="AZ857" s="39"/>
      <c r="BA857" s="39"/>
      <c r="BK857" s="39"/>
    </row>
    <row r="858" spans="2:63" x14ac:dyDescent="0.2">
      <c r="B858" s="38"/>
      <c r="AY858" s="39"/>
      <c r="AZ858" s="39"/>
      <c r="BA858" s="39"/>
      <c r="BK858" s="39"/>
    </row>
    <row r="859" spans="2:63" x14ac:dyDescent="0.2">
      <c r="B859" s="38"/>
      <c r="AY859" s="39"/>
      <c r="AZ859" s="39"/>
      <c r="BA859" s="39"/>
      <c r="BK859" s="39"/>
    </row>
    <row r="860" spans="2:63" x14ac:dyDescent="0.2">
      <c r="B860" s="38"/>
      <c r="AY860" s="39"/>
      <c r="AZ860" s="39"/>
      <c r="BA860" s="39"/>
      <c r="BK860" s="39"/>
    </row>
    <row r="861" spans="2:63" x14ac:dyDescent="0.2">
      <c r="B861" s="38"/>
      <c r="AY861" s="39"/>
      <c r="AZ861" s="39"/>
      <c r="BA861" s="39"/>
      <c r="BK861" s="39"/>
    </row>
    <row r="862" spans="2:63" x14ac:dyDescent="0.2">
      <c r="B862" s="38"/>
      <c r="AY862" s="39"/>
      <c r="AZ862" s="39"/>
      <c r="BA862" s="39"/>
      <c r="BK862" s="39"/>
    </row>
    <row r="863" spans="2:63" x14ac:dyDescent="0.2">
      <c r="B863" s="38"/>
      <c r="AY863" s="39"/>
      <c r="AZ863" s="39"/>
      <c r="BA863" s="39"/>
      <c r="BK863" s="39"/>
    </row>
    <row r="864" spans="2:63" x14ac:dyDescent="0.2">
      <c r="B864" s="38"/>
      <c r="AY864" s="39"/>
      <c r="AZ864" s="39"/>
      <c r="BA864" s="39"/>
      <c r="BK864" s="39"/>
    </row>
    <row r="865" spans="2:63" x14ac:dyDescent="0.2">
      <c r="B865" s="38"/>
      <c r="AY865" s="39"/>
      <c r="AZ865" s="39"/>
      <c r="BA865" s="39"/>
      <c r="BK865" s="39"/>
    </row>
    <row r="866" spans="2:63" x14ac:dyDescent="0.2">
      <c r="B866" s="38"/>
      <c r="AY866" s="39"/>
      <c r="AZ866" s="39"/>
      <c r="BA866" s="39"/>
      <c r="BK866" s="39"/>
    </row>
    <row r="867" spans="2:63" x14ac:dyDescent="0.2">
      <c r="B867" s="38"/>
      <c r="AY867" s="39"/>
      <c r="AZ867" s="39"/>
      <c r="BA867" s="39"/>
      <c r="BK867" s="39"/>
    </row>
    <row r="868" spans="2:63" x14ac:dyDescent="0.2">
      <c r="B868" s="38"/>
      <c r="AY868" s="39"/>
      <c r="AZ868" s="39"/>
      <c r="BA868" s="39"/>
      <c r="BK868" s="39"/>
    </row>
    <row r="869" spans="2:63" x14ac:dyDescent="0.2">
      <c r="B869" s="38"/>
      <c r="AY869" s="39"/>
      <c r="AZ869" s="39"/>
      <c r="BA869" s="39"/>
      <c r="BK869" s="39"/>
    </row>
    <row r="870" spans="2:63" x14ac:dyDescent="0.2">
      <c r="B870" s="38"/>
      <c r="AY870" s="39"/>
      <c r="AZ870" s="39"/>
      <c r="BA870" s="39"/>
      <c r="BK870" s="39"/>
    </row>
    <row r="871" spans="2:63" x14ac:dyDescent="0.2">
      <c r="B871" s="38"/>
      <c r="AY871" s="39"/>
      <c r="AZ871" s="39"/>
      <c r="BA871" s="39"/>
      <c r="BK871" s="39"/>
    </row>
    <row r="872" spans="2:63" x14ac:dyDescent="0.2">
      <c r="B872" s="38"/>
      <c r="AY872" s="39"/>
      <c r="AZ872" s="39"/>
      <c r="BA872" s="39"/>
      <c r="BK872" s="39"/>
    </row>
    <row r="873" spans="2:63" x14ac:dyDescent="0.2">
      <c r="B873" s="38"/>
      <c r="AY873" s="39"/>
      <c r="AZ873" s="39"/>
      <c r="BA873" s="39"/>
      <c r="BK873" s="39"/>
    </row>
    <row r="874" spans="2:63" x14ac:dyDescent="0.2">
      <c r="B874" s="38"/>
      <c r="AY874" s="39"/>
      <c r="AZ874" s="39"/>
      <c r="BA874" s="39"/>
      <c r="BK874" s="39"/>
    </row>
    <row r="875" spans="2:63" x14ac:dyDescent="0.2">
      <c r="B875" s="38"/>
      <c r="AY875" s="39"/>
      <c r="AZ875" s="39"/>
      <c r="BA875" s="39"/>
      <c r="BK875" s="39"/>
    </row>
    <row r="876" spans="2:63" x14ac:dyDescent="0.2">
      <c r="B876" s="38"/>
      <c r="AY876" s="39"/>
      <c r="AZ876" s="39"/>
      <c r="BA876" s="39"/>
      <c r="BK876" s="39"/>
    </row>
    <row r="877" spans="2:63" x14ac:dyDescent="0.2">
      <c r="B877" s="38"/>
      <c r="AY877" s="39"/>
      <c r="AZ877" s="39"/>
      <c r="BA877" s="39"/>
      <c r="BK877" s="39"/>
    </row>
    <row r="878" spans="2:63" x14ac:dyDescent="0.2">
      <c r="B878" s="38"/>
      <c r="AY878" s="39"/>
      <c r="AZ878" s="39"/>
      <c r="BA878" s="39"/>
      <c r="BK878" s="39"/>
    </row>
    <row r="879" spans="2:63" x14ac:dyDescent="0.2">
      <c r="B879" s="38"/>
      <c r="AY879" s="39"/>
      <c r="AZ879" s="39"/>
      <c r="BA879" s="39"/>
      <c r="BK879" s="39"/>
    </row>
    <row r="880" spans="2:63" x14ac:dyDescent="0.2">
      <c r="B880" s="38"/>
      <c r="AY880" s="39"/>
      <c r="AZ880" s="39"/>
      <c r="BA880" s="39"/>
      <c r="BK880" s="39"/>
    </row>
    <row r="881" spans="2:63" x14ac:dyDescent="0.2">
      <c r="B881" s="38"/>
      <c r="AY881" s="39"/>
      <c r="AZ881" s="39"/>
      <c r="BA881" s="39"/>
      <c r="BK881" s="39"/>
    </row>
    <row r="882" spans="2:63" x14ac:dyDescent="0.2">
      <c r="B882" s="38"/>
      <c r="AY882" s="39"/>
      <c r="AZ882" s="39"/>
      <c r="BA882" s="39"/>
      <c r="BK882" s="39"/>
    </row>
    <row r="883" spans="2:63" x14ac:dyDescent="0.2">
      <c r="B883" s="38"/>
      <c r="AY883" s="39"/>
      <c r="AZ883" s="39"/>
      <c r="BA883" s="39"/>
      <c r="BK883" s="39"/>
    </row>
    <row r="884" spans="2:63" x14ac:dyDescent="0.2">
      <c r="B884" s="38"/>
      <c r="AY884" s="39"/>
      <c r="AZ884" s="39"/>
      <c r="BA884" s="39"/>
      <c r="BK884" s="39"/>
    </row>
    <row r="885" spans="2:63" x14ac:dyDescent="0.2">
      <c r="B885" s="38"/>
      <c r="AY885" s="39"/>
      <c r="AZ885" s="39"/>
      <c r="BA885" s="39"/>
      <c r="BK885" s="39"/>
    </row>
    <row r="886" spans="2:63" x14ac:dyDescent="0.2">
      <c r="B886" s="38"/>
      <c r="AY886" s="39"/>
      <c r="AZ886" s="39"/>
      <c r="BA886" s="39"/>
      <c r="BK886" s="39"/>
    </row>
    <row r="887" spans="2:63" x14ac:dyDescent="0.2">
      <c r="B887" s="38"/>
      <c r="AY887" s="39"/>
      <c r="AZ887" s="39"/>
      <c r="BA887" s="39"/>
      <c r="BK887" s="39"/>
    </row>
    <row r="888" spans="2:63" x14ac:dyDescent="0.2">
      <c r="B888" s="38"/>
      <c r="AY888" s="39"/>
      <c r="AZ888" s="39"/>
      <c r="BA888" s="39"/>
      <c r="BK888" s="39"/>
    </row>
    <row r="889" spans="2:63" x14ac:dyDescent="0.2">
      <c r="B889" s="38"/>
      <c r="AY889" s="39"/>
      <c r="AZ889" s="39"/>
      <c r="BA889" s="39"/>
      <c r="BK889" s="39"/>
    </row>
    <row r="890" spans="2:63" x14ac:dyDescent="0.2">
      <c r="B890" s="38"/>
      <c r="AY890" s="39"/>
      <c r="AZ890" s="39"/>
      <c r="BA890" s="39"/>
      <c r="BK890" s="39"/>
    </row>
    <row r="891" spans="2:63" x14ac:dyDescent="0.2">
      <c r="B891" s="38"/>
      <c r="AY891" s="39"/>
      <c r="AZ891" s="39"/>
      <c r="BA891" s="39"/>
      <c r="BK891" s="39"/>
    </row>
    <row r="892" spans="2:63" x14ac:dyDescent="0.2">
      <c r="B892" s="38"/>
      <c r="AY892" s="39"/>
      <c r="AZ892" s="39"/>
      <c r="BA892" s="39"/>
      <c r="BK892" s="39"/>
    </row>
    <row r="893" spans="2:63" x14ac:dyDescent="0.2">
      <c r="B893" s="38"/>
      <c r="AY893" s="39"/>
      <c r="AZ893" s="39"/>
      <c r="BA893" s="39"/>
      <c r="BK893" s="39"/>
    </row>
    <row r="894" spans="2:63" x14ac:dyDescent="0.2">
      <c r="B894" s="38"/>
      <c r="AY894" s="39"/>
      <c r="AZ894" s="39"/>
      <c r="BA894" s="39"/>
      <c r="BK894" s="39"/>
    </row>
    <row r="895" spans="2:63" x14ac:dyDescent="0.2">
      <c r="B895" s="38"/>
      <c r="AY895" s="39"/>
      <c r="AZ895" s="39"/>
      <c r="BA895" s="39"/>
      <c r="BK895" s="39"/>
    </row>
    <row r="896" spans="2:63" x14ac:dyDescent="0.2">
      <c r="B896" s="38"/>
      <c r="AY896" s="39"/>
      <c r="AZ896" s="39"/>
      <c r="BA896" s="39"/>
      <c r="BK896" s="39"/>
    </row>
    <row r="897" spans="2:63" x14ac:dyDescent="0.2">
      <c r="B897" s="38"/>
      <c r="AY897" s="39"/>
      <c r="AZ897" s="39"/>
      <c r="BA897" s="39"/>
      <c r="BK897" s="39"/>
    </row>
    <row r="898" spans="2:63" x14ac:dyDescent="0.2">
      <c r="B898" s="38"/>
      <c r="AY898" s="39"/>
      <c r="AZ898" s="39"/>
      <c r="BA898" s="39"/>
      <c r="BK898" s="39"/>
    </row>
    <row r="899" spans="2:63" x14ac:dyDescent="0.2">
      <c r="B899" s="38"/>
      <c r="AY899" s="39"/>
      <c r="AZ899" s="39"/>
      <c r="BA899" s="39"/>
      <c r="BK899" s="39"/>
    </row>
    <row r="900" spans="2:63" x14ac:dyDescent="0.2">
      <c r="B900" s="38"/>
      <c r="AY900" s="39"/>
      <c r="AZ900" s="39"/>
      <c r="BA900" s="39"/>
      <c r="BK900" s="39"/>
    </row>
    <row r="901" spans="2:63" x14ac:dyDescent="0.2">
      <c r="B901" s="38"/>
      <c r="AY901" s="39"/>
      <c r="AZ901" s="39"/>
      <c r="BA901" s="39"/>
      <c r="BK901" s="39"/>
    </row>
    <row r="902" spans="2:63" x14ac:dyDescent="0.2">
      <c r="B902" s="38"/>
      <c r="AY902" s="39"/>
      <c r="AZ902" s="39"/>
      <c r="BA902" s="39"/>
      <c r="BK902" s="39"/>
    </row>
    <row r="903" spans="2:63" x14ac:dyDescent="0.2">
      <c r="B903" s="38"/>
      <c r="AY903" s="39"/>
      <c r="AZ903" s="39"/>
      <c r="BA903" s="39"/>
      <c r="BK903" s="39"/>
    </row>
    <row r="904" spans="2:63" x14ac:dyDescent="0.2">
      <c r="B904" s="38"/>
      <c r="AY904" s="39"/>
      <c r="AZ904" s="39"/>
      <c r="BA904" s="39"/>
      <c r="BK904" s="39"/>
    </row>
    <row r="905" spans="2:63" x14ac:dyDescent="0.2">
      <c r="B905" s="38"/>
      <c r="AY905" s="39"/>
      <c r="AZ905" s="39"/>
      <c r="BA905" s="39"/>
      <c r="BK905" s="39"/>
    </row>
    <row r="906" spans="2:63" x14ac:dyDescent="0.2">
      <c r="B906" s="38"/>
      <c r="AY906" s="39"/>
      <c r="AZ906" s="39"/>
      <c r="BA906" s="39"/>
      <c r="BK906" s="39"/>
    </row>
    <row r="907" spans="2:63" x14ac:dyDescent="0.2">
      <c r="B907" s="38"/>
      <c r="AY907" s="39"/>
      <c r="AZ907" s="39"/>
      <c r="BA907" s="39"/>
      <c r="BK907" s="39"/>
    </row>
    <row r="908" spans="2:63" x14ac:dyDescent="0.2">
      <c r="B908" s="38"/>
      <c r="AY908" s="39"/>
      <c r="AZ908" s="39"/>
      <c r="BA908" s="39"/>
      <c r="BK908" s="39"/>
    </row>
    <row r="909" spans="2:63" x14ac:dyDescent="0.2">
      <c r="B909" s="38"/>
      <c r="AY909" s="39"/>
      <c r="AZ909" s="39"/>
      <c r="BA909" s="39"/>
      <c r="BK909" s="39"/>
    </row>
    <row r="910" spans="2:63" x14ac:dyDescent="0.2">
      <c r="B910" s="38"/>
      <c r="AY910" s="39"/>
      <c r="AZ910" s="39"/>
      <c r="BA910" s="39"/>
      <c r="BK910" s="39"/>
    </row>
    <row r="911" spans="2:63" x14ac:dyDescent="0.2">
      <c r="B911" s="38"/>
      <c r="AY911" s="39"/>
      <c r="AZ911" s="39"/>
      <c r="BA911" s="39"/>
      <c r="BK911" s="39"/>
    </row>
    <row r="912" spans="2:63" x14ac:dyDescent="0.2">
      <c r="B912" s="38"/>
      <c r="AY912" s="39"/>
      <c r="AZ912" s="39"/>
      <c r="BA912" s="39"/>
      <c r="BK912" s="39"/>
    </row>
    <row r="913" spans="2:63" x14ac:dyDescent="0.2">
      <c r="B913" s="38"/>
      <c r="AY913" s="39"/>
      <c r="AZ913" s="39"/>
      <c r="BA913" s="39"/>
      <c r="BK913" s="39"/>
    </row>
    <row r="914" spans="2:63" x14ac:dyDescent="0.2">
      <c r="B914" s="38"/>
      <c r="AY914" s="39"/>
      <c r="AZ914" s="39"/>
      <c r="BA914" s="39"/>
      <c r="BK914" s="39"/>
    </row>
    <row r="915" spans="2:63" x14ac:dyDescent="0.2">
      <c r="B915" s="38"/>
      <c r="AY915" s="39"/>
      <c r="AZ915" s="39"/>
      <c r="BA915" s="39"/>
      <c r="BK915" s="39"/>
    </row>
    <row r="916" spans="2:63" x14ac:dyDescent="0.2">
      <c r="B916" s="38"/>
      <c r="AY916" s="39"/>
      <c r="AZ916" s="39"/>
      <c r="BA916" s="39"/>
      <c r="BK916" s="39"/>
    </row>
    <row r="917" spans="2:63" x14ac:dyDescent="0.2">
      <c r="B917" s="38"/>
      <c r="AY917" s="39"/>
      <c r="AZ917" s="39"/>
      <c r="BA917" s="39"/>
      <c r="BK917" s="39"/>
    </row>
    <row r="918" spans="2:63" x14ac:dyDescent="0.2">
      <c r="B918" s="38"/>
      <c r="AY918" s="39"/>
      <c r="AZ918" s="39"/>
      <c r="BA918" s="39"/>
      <c r="BK918" s="39"/>
    </row>
    <row r="919" spans="2:63" x14ac:dyDescent="0.2">
      <c r="B919" s="38"/>
      <c r="AY919" s="39"/>
      <c r="AZ919" s="39"/>
      <c r="BA919" s="39"/>
      <c r="BK919" s="39"/>
    </row>
    <row r="920" spans="2:63" x14ac:dyDescent="0.2">
      <c r="B920" s="38"/>
      <c r="AY920" s="39"/>
      <c r="AZ920" s="39"/>
      <c r="BA920" s="39"/>
      <c r="BK920" s="39"/>
    </row>
    <row r="921" spans="2:63" x14ac:dyDescent="0.2">
      <c r="B921" s="38"/>
      <c r="AY921" s="39"/>
      <c r="AZ921" s="39"/>
      <c r="BA921" s="39"/>
      <c r="BK921" s="39"/>
    </row>
    <row r="922" spans="2:63" x14ac:dyDescent="0.2">
      <c r="B922" s="38"/>
      <c r="AY922" s="39"/>
      <c r="AZ922" s="39"/>
      <c r="BA922" s="39"/>
      <c r="BK922" s="39"/>
    </row>
    <row r="923" spans="2:63" x14ac:dyDescent="0.2">
      <c r="B923" s="38"/>
      <c r="AY923" s="39"/>
      <c r="AZ923" s="39"/>
      <c r="BA923" s="39"/>
      <c r="BK923" s="39"/>
    </row>
    <row r="924" spans="2:63" x14ac:dyDescent="0.2">
      <c r="B924" s="38"/>
      <c r="AY924" s="39"/>
      <c r="AZ924" s="39"/>
      <c r="BA924" s="39"/>
      <c r="BK924" s="39"/>
    </row>
    <row r="925" spans="2:63" x14ac:dyDescent="0.2">
      <c r="B925" s="38"/>
      <c r="AY925" s="39"/>
      <c r="AZ925" s="39"/>
      <c r="BA925" s="39"/>
      <c r="BK925" s="39"/>
    </row>
    <row r="926" spans="2:63" x14ac:dyDescent="0.2">
      <c r="B926" s="38"/>
      <c r="AY926" s="39"/>
      <c r="AZ926" s="39"/>
      <c r="BA926" s="39"/>
      <c r="BK926" s="39"/>
    </row>
    <row r="927" spans="2:63" x14ac:dyDescent="0.2">
      <c r="B927" s="38"/>
      <c r="AY927" s="39"/>
      <c r="AZ927" s="39"/>
      <c r="BA927" s="39"/>
      <c r="BK927" s="39"/>
    </row>
    <row r="928" spans="2:63" x14ac:dyDescent="0.2">
      <c r="B928" s="38"/>
      <c r="AY928" s="39"/>
      <c r="AZ928" s="39"/>
      <c r="BA928" s="39"/>
      <c r="BK928" s="39"/>
    </row>
    <row r="929" spans="2:63" x14ac:dyDescent="0.2">
      <c r="B929" s="38"/>
      <c r="AY929" s="39"/>
      <c r="AZ929" s="39"/>
      <c r="BA929" s="39"/>
      <c r="BK929" s="39"/>
    </row>
    <row r="930" spans="2:63" x14ac:dyDescent="0.2">
      <c r="B930" s="38"/>
      <c r="AY930" s="39"/>
      <c r="AZ930" s="39"/>
      <c r="BA930" s="39"/>
      <c r="BK930" s="39"/>
    </row>
    <row r="931" spans="2:63" x14ac:dyDescent="0.2">
      <c r="B931" s="38"/>
      <c r="AY931" s="39"/>
      <c r="AZ931" s="39"/>
      <c r="BA931" s="39"/>
      <c r="BK931" s="39"/>
    </row>
    <row r="932" spans="2:63" x14ac:dyDescent="0.2">
      <c r="B932" s="38"/>
      <c r="AY932" s="39"/>
      <c r="AZ932" s="39"/>
      <c r="BA932" s="39"/>
      <c r="BK932" s="39"/>
    </row>
    <row r="933" spans="2:63" x14ac:dyDescent="0.2">
      <c r="B933" s="38"/>
      <c r="AY933" s="39"/>
      <c r="AZ933" s="39"/>
      <c r="BA933" s="39"/>
      <c r="BK933" s="39"/>
    </row>
    <row r="934" spans="2:63" x14ac:dyDescent="0.2">
      <c r="B934" s="38"/>
      <c r="AY934" s="39"/>
      <c r="AZ934" s="39"/>
      <c r="BA934" s="39"/>
      <c r="BK934" s="39"/>
    </row>
    <row r="935" spans="2:63" x14ac:dyDescent="0.2">
      <c r="B935" s="38"/>
      <c r="AY935" s="39"/>
      <c r="AZ935" s="39"/>
      <c r="BA935" s="39"/>
      <c r="BK935" s="39"/>
    </row>
    <row r="936" spans="2:63" x14ac:dyDescent="0.2">
      <c r="B936" s="38"/>
      <c r="AY936" s="39"/>
      <c r="AZ936" s="39"/>
      <c r="BA936" s="39"/>
      <c r="BK936" s="39"/>
    </row>
    <row r="937" spans="2:63" x14ac:dyDescent="0.2">
      <c r="B937" s="38"/>
      <c r="AY937" s="39"/>
      <c r="AZ937" s="39"/>
      <c r="BA937" s="39"/>
      <c r="BK937" s="39"/>
    </row>
    <row r="938" spans="2:63" x14ac:dyDescent="0.2">
      <c r="B938" s="38"/>
      <c r="AY938" s="39"/>
      <c r="AZ938" s="39"/>
      <c r="BA938" s="39"/>
      <c r="BK938" s="39"/>
    </row>
    <row r="939" spans="2:63" x14ac:dyDescent="0.2">
      <c r="B939" s="38"/>
      <c r="AY939" s="39"/>
      <c r="AZ939" s="39"/>
      <c r="BA939" s="39"/>
      <c r="BK939" s="39"/>
    </row>
    <row r="940" spans="2:63" x14ac:dyDescent="0.2">
      <c r="B940" s="38"/>
      <c r="AY940" s="39"/>
      <c r="AZ940" s="39"/>
      <c r="BA940" s="39"/>
      <c r="BK940" s="39"/>
    </row>
    <row r="941" spans="2:63" x14ac:dyDescent="0.2">
      <c r="B941" s="38"/>
      <c r="AY941" s="39"/>
      <c r="AZ941" s="39"/>
      <c r="BA941" s="39"/>
      <c r="BK941" s="39"/>
    </row>
    <row r="942" spans="2:63" x14ac:dyDescent="0.2">
      <c r="B942" s="38"/>
      <c r="AY942" s="39"/>
      <c r="AZ942" s="39"/>
      <c r="BA942" s="39"/>
      <c r="BK942" s="39"/>
    </row>
    <row r="943" spans="2:63" x14ac:dyDescent="0.2">
      <c r="B943" s="38"/>
      <c r="AY943" s="39"/>
      <c r="AZ943" s="39"/>
      <c r="BA943" s="39"/>
      <c r="BK943" s="39"/>
    </row>
    <row r="944" spans="2:63" x14ac:dyDescent="0.2">
      <c r="B944" s="38"/>
      <c r="AY944" s="39"/>
      <c r="AZ944" s="39"/>
      <c r="BA944" s="39"/>
      <c r="BK944" s="39"/>
    </row>
    <row r="945" spans="2:63" x14ac:dyDescent="0.2">
      <c r="B945" s="38"/>
      <c r="AY945" s="39"/>
      <c r="AZ945" s="39"/>
      <c r="BA945" s="39"/>
      <c r="BK945" s="39"/>
    </row>
    <row r="946" spans="2:63" x14ac:dyDescent="0.2">
      <c r="B946" s="38"/>
      <c r="AY946" s="39"/>
      <c r="AZ946" s="39"/>
      <c r="BA946" s="39"/>
      <c r="BK946" s="39"/>
    </row>
    <row r="947" spans="2:63" x14ac:dyDescent="0.2">
      <c r="B947" s="38"/>
      <c r="AY947" s="39"/>
      <c r="AZ947" s="39"/>
      <c r="BA947" s="39"/>
      <c r="BK947" s="39"/>
    </row>
    <row r="948" spans="2:63" x14ac:dyDescent="0.2">
      <c r="B948" s="38"/>
      <c r="AY948" s="39"/>
      <c r="AZ948" s="39"/>
      <c r="BA948" s="39"/>
      <c r="BK948" s="39"/>
    </row>
    <row r="949" spans="2:63" x14ac:dyDescent="0.2">
      <c r="B949" s="38"/>
      <c r="AY949" s="39"/>
      <c r="AZ949" s="39"/>
      <c r="BA949" s="39"/>
      <c r="BK949" s="39"/>
    </row>
    <row r="950" spans="2:63" x14ac:dyDescent="0.2">
      <c r="B950" s="38"/>
      <c r="AY950" s="39"/>
      <c r="AZ950" s="39"/>
      <c r="BA950" s="39"/>
      <c r="BK950" s="39"/>
    </row>
    <row r="951" spans="2:63" x14ac:dyDescent="0.2">
      <c r="B951" s="38"/>
      <c r="AY951" s="39"/>
      <c r="AZ951" s="39"/>
      <c r="BA951" s="39"/>
      <c r="BK951" s="39"/>
    </row>
    <row r="952" spans="2:63" x14ac:dyDescent="0.2">
      <c r="B952" s="38"/>
      <c r="AY952" s="39"/>
      <c r="AZ952" s="39"/>
      <c r="BA952" s="39"/>
      <c r="BK952" s="39"/>
    </row>
    <row r="953" spans="2:63" x14ac:dyDescent="0.2">
      <c r="B953" s="38"/>
      <c r="AY953" s="39"/>
      <c r="AZ953" s="39"/>
      <c r="BA953" s="39"/>
      <c r="BK953" s="39"/>
    </row>
    <row r="954" spans="2:63" x14ac:dyDescent="0.2">
      <c r="B954" s="38"/>
      <c r="AY954" s="39"/>
      <c r="AZ954" s="39"/>
      <c r="BA954" s="39"/>
      <c r="BK954" s="39"/>
    </row>
    <row r="955" spans="2:63" x14ac:dyDescent="0.2">
      <c r="B955" s="38"/>
      <c r="AY955" s="39"/>
      <c r="AZ955" s="39"/>
      <c r="BA955" s="39"/>
      <c r="BK955" s="39"/>
    </row>
    <row r="956" spans="2:63" x14ac:dyDescent="0.2">
      <c r="B956" s="38"/>
      <c r="AY956" s="39"/>
      <c r="AZ956" s="39"/>
      <c r="BA956" s="39"/>
      <c r="BK956" s="39"/>
    </row>
    <row r="957" spans="2:63" x14ac:dyDescent="0.2">
      <c r="B957" s="38"/>
      <c r="AY957" s="39"/>
      <c r="AZ957" s="39"/>
      <c r="BA957" s="39"/>
      <c r="BK957" s="39"/>
    </row>
    <row r="958" spans="2:63" x14ac:dyDescent="0.2">
      <c r="B958" s="38"/>
      <c r="AY958" s="39"/>
      <c r="AZ958" s="39"/>
      <c r="BA958" s="39"/>
      <c r="BK958" s="39"/>
    </row>
    <row r="959" spans="2:63" x14ac:dyDescent="0.2">
      <c r="B959" s="38"/>
      <c r="AY959" s="39"/>
      <c r="AZ959" s="39"/>
      <c r="BA959" s="39"/>
      <c r="BK959" s="39"/>
    </row>
    <row r="960" spans="2:63" x14ac:dyDescent="0.2">
      <c r="B960" s="38"/>
      <c r="AY960" s="39"/>
      <c r="AZ960" s="39"/>
      <c r="BA960" s="39"/>
      <c r="BK960" s="39"/>
    </row>
    <row r="961" spans="2:63" x14ac:dyDescent="0.2">
      <c r="B961" s="38"/>
      <c r="AY961" s="39"/>
      <c r="AZ961" s="39"/>
      <c r="BA961" s="39"/>
      <c r="BK961" s="39"/>
    </row>
    <row r="962" spans="2:63" x14ac:dyDescent="0.2">
      <c r="B962" s="38"/>
      <c r="AY962" s="39"/>
      <c r="AZ962" s="39"/>
      <c r="BA962" s="39"/>
      <c r="BK962" s="39"/>
    </row>
    <row r="963" spans="2:63" x14ac:dyDescent="0.2">
      <c r="B963" s="38"/>
      <c r="AY963" s="39"/>
      <c r="AZ963" s="39"/>
      <c r="BA963" s="39"/>
      <c r="BK963" s="39"/>
    </row>
    <row r="964" spans="2:63" x14ac:dyDescent="0.2">
      <c r="B964" s="38"/>
      <c r="AY964" s="39"/>
      <c r="AZ964" s="39"/>
      <c r="BA964" s="39"/>
      <c r="BK964" s="39"/>
    </row>
    <row r="965" spans="2:63" x14ac:dyDescent="0.2">
      <c r="B965" s="38"/>
      <c r="AY965" s="39"/>
      <c r="AZ965" s="39"/>
      <c r="BA965" s="39"/>
      <c r="BK965" s="39"/>
    </row>
    <row r="966" spans="2:63" x14ac:dyDescent="0.2">
      <c r="B966" s="38"/>
      <c r="AY966" s="39"/>
      <c r="AZ966" s="39"/>
      <c r="BA966" s="39"/>
      <c r="BK966" s="39"/>
    </row>
    <row r="967" spans="2:63" x14ac:dyDescent="0.2">
      <c r="B967" s="38"/>
      <c r="AY967" s="39"/>
      <c r="AZ967" s="39"/>
      <c r="BA967" s="39"/>
      <c r="BK967" s="39"/>
    </row>
    <row r="968" spans="2:63" x14ac:dyDescent="0.2">
      <c r="B968" s="38"/>
      <c r="AY968" s="39"/>
      <c r="AZ968" s="39"/>
      <c r="BA968" s="39"/>
      <c r="BK968" s="39"/>
    </row>
    <row r="969" spans="2:63" x14ac:dyDescent="0.2">
      <c r="B969" s="38"/>
      <c r="AY969" s="39"/>
      <c r="AZ969" s="39"/>
      <c r="BA969" s="39"/>
      <c r="BK969" s="39"/>
    </row>
    <row r="970" spans="2:63" x14ac:dyDescent="0.2">
      <c r="B970" s="38"/>
      <c r="AY970" s="39"/>
      <c r="AZ970" s="39"/>
      <c r="BA970" s="39"/>
      <c r="BK970" s="39"/>
    </row>
    <row r="971" spans="2:63" x14ac:dyDescent="0.2">
      <c r="B971" s="38"/>
      <c r="AY971" s="39"/>
      <c r="AZ971" s="39"/>
      <c r="BA971" s="39"/>
      <c r="BK971" s="39"/>
    </row>
    <row r="972" spans="2:63" x14ac:dyDescent="0.2">
      <c r="B972" s="38"/>
      <c r="AY972" s="39"/>
      <c r="AZ972" s="39"/>
      <c r="BA972" s="39"/>
      <c r="BK972" s="39"/>
    </row>
    <row r="973" spans="2:63" x14ac:dyDescent="0.2">
      <c r="B973" s="38"/>
      <c r="AY973" s="39"/>
      <c r="AZ973" s="39"/>
      <c r="BA973" s="39"/>
      <c r="BK973" s="39"/>
    </row>
    <row r="974" spans="2:63" x14ac:dyDescent="0.2">
      <c r="B974" s="38"/>
      <c r="AY974" s="39"/>
      <c r="AZ974" s="39"/>
      <c r="BA974" s="39"/>
      <c r="BK974" s="39"/>
    </row>
    <row r="975" spans="2:63" x14ac:dyDescent="0.2">
      <c r="B975" s="38"/>
      <c r="AY975" s="39"/>
      <c r="AZ975" s="39"/>
      <c r="BA975" s="39"/>
      <c r="BK975" s="39"/>
    </row>
    <row r="976" spans="2:63" x14ac:dyDescent="0.2">
      <c r="B976" s="38"/>
      <c r="AY976" s="39"/>
      <c r="AZ976" s="39"/>
      <c r="BA976" s="39"/>
      <c r="BK976" s="39"/>
    </row>
    <row r="977" spans="2:63" x14ac:dyDescent="0.2">
      <c r="B977" s="38"/>
      <c r="AY977" s="39"/>
      <c r="AZ977" s="39"/>
      <c r="BA977" s="39"/>
      <c r="BK977" s="39"/>
    </row>
    <row r="978" spans="2:63" x14ac:dyDescent="0.2">
      <c r="B978" s="38"/>
      <c r="AY978" s="39"/>
      <c r="AZ978" s="39"/>
      <c r="BA978" s="39"/>
      <c r="BK978" s="39"/>
    </row>
    <row r="979" spans="2:63" x14ac:dyDescent="0.2">
      <c r="B979" s="38"/>
      <c r="AY979" s="39"/>
      <c r="AZ979" s="39"/>
      <c r="BA979" s="39"/>
      <c r="BK979" s="39"/>
    </row>
    <row r="980" spans="2:63" x14ac:dyDescent="0.2">
      <c r="B980" s="38"/>
      <c r="AY980" s="39"/>
      <c r="AZ980" s="39"/>
      <c r="BA980" s="39"/>
      <c r="BK980" s="39"/>
    </row>
    <row r="981" spans="2:63" x14ac:dyDescent="0.2">
      <c r="B981" s="38"/>
      <c r="AY981" s="39"/>
      <c r="AZ981" s="39"/>
      <c r="BA981" s="39"/>
      <c r="BK981" s="39"/>
    </row>
    <row r="982" spans="2:63" x14ac:dyDescent="0.2">
      <c r="B982" s="38"/>
      <c r="AY982" s="39"/>
      <c r="AZ982" s="39"/>
      <c r="BA982" s="39"/>
      <c r="BK982" s="39"/>
    </row>
    <row r="983" spans="2:63" x14ac:dyDescent="0.2">
      <c r="B983" s="38"/>
      <c r="AY983" s="39"/>
      <c r="AZ983" s="39"/>
      <c r="BA983" s="39"/>
      <c r="BK983" s="39"/>
    </row>
    <row r="984" spans="2:63" x14ac:dyDescent="0.2">
      <c r="B984" s="38"/>
      <c r="AY984" s="39"/>
      <c r="AZ984" s="39"/>
      <c r="BA984" s="39"/>
      <c r="BK984" s="39"/>
    </row>
    <row r="985" spans="2:63" x14ac:dyDescent="0.2">
      <c r="B985" s="38"/>
      <c r="AY985" s="39"/>
      <c r="AZ985" s="39"/>
      <c r="BA985" s="39"/>
      <c r="BK985" s="39"/>
    </row>
    <row r="986" spans="2:63" x14ac:dyDescent="0.2">
      <c r="B986" s="38"/>
      <c r="AY986" s="39"/>
      <c r="AZ986" s="39"/>
      <c r="BA986" s="39"/>
      <c r="BK986" s="39"/>
    </row>
    <row r="987" spans="2:63" x14ac:dyDescent="0.2">
      <c r="B987" s="38"/>
      <c r="AY987" s="39"/>
      <c r="AZ987" s="39"/>
      <c r="BA987" s="39"/>
      <c r="BK987" s="39"/>
    </row>
    <row r="988" spans="2:63" x14ac:dyDescent="0.2">
      <c r="B988" s="38"/>
      <c r="AY988" s="39"/>
      <c r="AZ988" s="39"/>
      <c r="BA988" s="39"/>
      <c r="BK988" s="39"/>
    </row>
    <row r="989" spans="2:63" x14ac:dyDescent="0.2">
      <c r="B989" s="38"/>
      <c r="AY989" s="39"/>
      <c r="AZ989" s="39"/>
      <c r="BA989" s="39"/>
      <c r="BK989" s="39"/>
    </row>
    <row r="990" spans="2:63" x14ac:dyDescent="0.2">
      <c r="B990" s="38"/>
      <c r="AY990" s="39"/>
      <c r="AZ990" s="39"/>
      <c r="BA990" s="39"/>
      <c r="BK990" s="39"/>
    </row>
    <row r="991" spans="2:63" x14ac:dyDescent="0.2">
      <c r="B991" s="38"/>
      <c r="AY991" s="39"/>
      <c r="AZ991" s="39"/>
      <c r="BA991" s="39"/>
      <c r="BK991" s="39"/>
    </row>
    <row r="992" spans="2:63" x14ac:dyDescent="0.2">
      <c r="B992" s="38"/>
      <c r="AY992" s="39"/>
      <c r="AZ992" s="39"/>
      <c r="BA992" s="39"/>
      <c r="BK992" s="39"/>
    </row>
    <row r="993" spans="2:63" x14ac:dyDescent="0.2">
      <c r="B993" s="38"/>
      <c r="AY993" s="39"/>
      <c r="AZ993" s="39"/>
      <c r="BA993" s="39"/>
      <c r="BK993" s="39"/>
    </row>
    <row r="994" spans="2:63" x14ac:dyDescent="0.2">
      <c r="B994" s="38"/>
      <c r="AY994" s="39"/>
      <c r="AZ994" s="39"/>
      <c r="BA994" s="39"/>
      <c r="BK994" s="39"/>
    </row>
    <row r="995" spans="2:63" x14ac:dyDescent="0.2">
      <c r="B995" s="38"/>
      <c r="AY995" s="39"/>
      <c r="AZ995" s="39"/>
      <c r="BA995" s="39"/>
      <c r="BK995" s="39"/>
    </row>
    <row r="996" spans="2:63" x14ac:dyDescent="0.2">
      <c r="B996" s="38"/>
      <c r="AY996" s="39"/>
      <c r="AZ996" s="39"/>
      <c r="BA996" s="39"/>
      <c r="BK996" s="39"/>
    </row>
    <row r="997" spans="2:63" x14ac:dyDescent="0.2">
      <c r="B997" s="38"/>
      <c r="AY997" s="39"/>
      <c r="AZ997" s="39"/>
      <c r="BA997" s="39"/>
      <c r="BK997" s="39"/>
    </row>
    <row r="998" spans="2:63" x14ac:dyDescent="0.2">
      <c r="B998" s="38"/>
      <c r="AY998" s="39"/>
      <c r="AZ998" s="39"/>
      <c r="BA998" s="39"/>
      <c r="BK998" s="39"/>
    </row>
    <row r="999" spans="2:63" x14ac:dyDescent="0.2">
      <c r="B999" s="38"/>
      <c r="AY999" s="39"/>
      <c r="AZ999" s="39"/>
      <c r="BA999" s="39"/>
      <c r="BK999" s="39"/>
    </row>
    <row r="1000" spans="2:63" x14ac:dyDescent="0.2">
      <c r="B1000" s="38"/>
      <c r="AY1000" s="39"/>
      <c r="AZ1000" s="39"/>
      <c r="BA1000" s="39"/>
      <c r="BK1000" s="39"/>
    </row>
    <row r="1001" spans="2:63" x14ac:dyDescent="0.2">
      <c r="B1001" s="38"/>
      <c r="AY1001" s="39"/>
      <c r="AZ1001" s="39"/>
      <c r="BA1001" s="39"/>
      <c r="BK1001" s="39"/>
    </row>
    <row r="1002" spans="2:63" x14ac:dyDescent="0.2">
      <c r="B1002" s="38"/>
      <c r="AY1002" s="39"/>
      <c r="AZ1002" s="39"/>
      <c r="BA1002" s="39"/>
      <c r="BK1002" s="39"/>
    </row>
    <row r="1003" spans="2:63" x14ac:dyDescent="0.2">
      <c r="B1003" s="38"/>
      <c r="AY1003" s="39"/>
      <c r="AZ1003" s="39"/>
      <c r="BA1003" s="39"/>
      <c r="BK1003" s="39"/>
    </row>
    <row r="1004" spans="2:63" x14ac:dyDescent="0.2">
      <c r="B1004" s="38"/>
      <c r="AY1004" s="39"/>
      <c r="AZ1004" s="39"/>
      <c r="BA1004" s="39"/>
      <c r="BK1004" s="39"/>
    </row>
    <row r="1005" spans="2:63" x14ac:dyDescent="0.2">
      <c r="B1005" s="38"/>
      <c r="AY1005" s="39"/>
      <c r="AZ1005" s="39"/>
      <c r="BA1005" s="39"/>
      <c r="BK1005" s="39"/>
    </row>
    <row r="1006" spans="2:63" x14ac:dyDescent="0.2">
      <c r="B1006" s="38"/>
      <c r="AY1006" s="39"/>
      <c r="AZ1006" s="39"/>
      <c r="BA1006" s="39"/>
      <c r="BK1006" s="39"/>
    </row>
    <row r="1007" spans="2:63" x14ac:dyDescent="0.2">
      <c r="B1007" s="38"/>
      <c r="AY1007" s="39"/>
      <c r="AZ1007" s="39"/>
      <c r="BA1007" s="39"/>
      <c r="BK1007" s="39"/>
    </row>
    <row r="1008" spans="2:63" x14ac:dyDescent="0.2">
      <c r="B1008" s="38"/>
      <c r="AY1008" s="39"/>
      <c r="AZ1008" s="39"/>
      <c r="BA1008" s="39"/>
      <c r="BK1008" s="39"/>
    </row>
    <row r="1009" spans="2:63" x14ac:dyDescent="0.2">
      <c r="B1009" s="38"/>
      <c r="AY1009" s="39"/>
      <c r="AZ1009" s="39"/>
      <c r="BA1009" s="39"/>
      <c r="BK1009" s="39"/>
    </row>
    <row r="1010" spans="2:63" x14ac:dyDescent="0.2">
      <c r="B1010" s="38"/>
      <c r="AY1010" s="39"/>
      <c r="AZ1010" s="39"/>
      <c r="BA1010" s="39"/>
      <c r="BK1010" s="39"/>
    </row>
    <row r="1011" spans="2:63" x14ac:dyDescent="0.2">
      <c r="B1011" s="38"/>
      <c r="AY1011" s="39"/>
      <c r="AZ1011" s="39"/>
      <c r="BA1011" s="39"/>
      <c r="BK1011" s="39"/>
    </row>
    <row r="1012" spans="2:63" x14ac:dyDescent="0.2">
      <c r="B1012" s="38"/>
      <c r="AY1012" s="39"/>
      <c r="AZ1012" s="39"/>
      <c r="BA1012" s="39"/>
      <c r="BK1012" s="39"/>
    </row>
    <row r="1013" spans="2:63" x14ac:dyDescent="0.2">
      <c r="B1013" s="38"/>
      <c r="AY1013" s="39"/>
      <c r="AZ1013" s="39"/>
      <c r="BA1013" s="39"/>
      <c r="BK1013" s="39"/>
    </row>
    <row r="1014" spans="2:63" x14ac:dyDescent="0.2">
      <c r="B1014" s="38"/>
      <c r="AY1014" s="39"/>
      <c r="AZ1014" s="39"/>
      <c r="BA1014" s="39"/>
      <c r="BK1014" s="39"/>
    </row>
    <row r="1015" spans="2:63" x14ac:dyDescent="0.2">
      <c r="B1015" s="38"/>
      <c r="AY1015" s="39"/>
      <c r="AZ1015" s="39"/>
      <c r="BA1015" s="39"/>
      <c r="BK1015" s="39"/>
    </row>
    <row r="1016" spans="2:63" x14ac:dyDescent="0.2">
      <c r="B1016" s="38"/>
      <c r="AY1016" s="39"/>
      <c r="AZ1016" s="39"/>
      <c r="BA1016" s="39"/>
      <c r="BK1016" s="39"/>
    </row>
    <row r="1017" spans="2:63" x14ac:dyDescent="0.2">
      <c r="B1017" s="38"/>
      <c r="AY1017" s="39"/>
      <c r="AZ1017" s="39"/>
      <c r="BA1017" s="39"/>
      <c r="BK1017" s="39"/>
    </row>
    <row r="1018" spans="2:63" x14ac:dyDescent="0.2">
      <c r="B1018" s="38"/>
      <c r="AY1018" s="39"/>
      <c r="AZ1018" s="39"/>
      <c r="BA1018" s="39"/>
      <c r="BK1018" s="39"/>
    </row>
    <row r="1019" spans="2:63" x14ac:dyDescent="0.2">
      <c r="B1019" s="38"/>
      <c r="AY1019" s="39"/>
      <c r="AZ1019" s="39"/>
      <c r="BA1019" s="39"/>
      <c r="BK1019" s="39"/>
    </row>
    <row r="1020" spans="2:63" x14ac:dyDescent="0.2">
      <c r="B1020" s="38"/>
      <c r="AY1020" s="39"/>
      <c r="AZ1020" s="39"/>
      <c r="BA1020" s="39"/>
      <c r="BK1020" s="39"/>
    </row>
    <row r="1021" spans="2:63" x14ac:dyDescent="0.2">
      <c r="B1021" s="38"/>
      <c r="AY1021" s="39"/>
      <c r="AZ1021" s="39"/>
      <c r="BA1021" s="39"/>
      <c r="BK1021" s="39"/>
    </row>
    <row r="1022" spans="2:63" x14ac:dyDescent="0.2">
      <c r="B1022" s="38"/>
      <c r="AY1022" s="39"/>
      <c r="AZ1022" s="39"/>
      <c r="BA1022" s="39"/>
      <c r="BK1022" s="39"/>
    </row>
    <row r="1023" spans="2:63" x14ac:dyDescent="0.2">
      <c r="B1023" s="38"/>
      <c r="AY1023" s="39"/>
      <c r="AZ1023" s="39"/>
      <c r="BA1023" s="39"/>
      <c r="BK1023" s="39"/>
    </row>
    <row r="1024" spans="2:63" x14ac:dyDescent="0.2">
      <c r="B1024" s="38"/>
      <c r="AY1024" s="39"/>
      <c r="AZ1024" s="39"/>
      <c r="BA1024" s="39"/>
      <c r="BK1024" s="39"/>
    </row>
    <row r="1025" spans="2:63" x14ac:dyDescent="0.2">
      <c r="B1025" s="38"/>
      <c r="AY1025" s="39"/>
      <c r="AZ1025" s="39"/>
      <c r="BA1025" s="39"/>
      <c r="BK1025" s="39"/>
    </row>
    <row r="1026" spans="2:63" x14ac:dyDescent="0.2">
      <c r="B1026" s="38"/>
      <c r="AY1026" s="39"/>
      <c r="AZ1026" s="39"/>
      <c r="BA1026" s="39"/>
      <c r="BK1026" s="39"/>
    </row>
    <row r="1027" spans="2:63" x14ac:dyDescent="0.2">
      <c r="B1027" s="38"/>
      <c r="AY1027" s="39"/>
      <c r="AZ1027" s="39"/>
      <c r="BA1027" s="39"/>
      <c r="BK1027" s="39"/>
    </row>
    <row r="1028" spans="2:63" x14ac:dyDescent="0.2">
      <c r="B1028" s="38"/>
      <c r="AY1028" s="39"/>
      <c r="AZ1028" s="39"/>
      <c r="BA1028" s="39"/>
      <c r="BK1028" s="39"/>
    </row>
    <row r="1029" spans="2:63" x14ac:dyDescent="0.2">
      <c r="B1029" s="38"/>
      <c r="AY1029" s="39"/>
      <c r="AZ1029" s="39"/>
      <c r="BA1029" s="39"/>
      <c r="BK1029" s="39"/>
    </row>
    <row r="1030" spans="2:63" x14ac:dyDescent="0.2">
      <c r="B1030" s="38"/>
      <c r="AY1030" s="39"/>
      <c r="AZ1030" s="39"/>
      <c r="BA1030" s="39"/>
      <c r="BK1030" s="39"/>
    </row>
    <row r="1031" spans="2:63" x14ac:dyDescent="0.2">
      <c r="B1031" s="38"/>
      <c r="AY1031" s="39"/>
      <c r="AZ1031" s="39"/>
      <c r="BA1031" s="39"/>
      <c r="BK1031" s="39"/>
    </row>
    <row r="1032" spans="2:63" x14ac:dyDescent="0.2">
      <c r="B1032" s="38"/>
      <c r="AY1032" s="39"/>
      <c r="AZ1032" s="39"/>
      <c r="BA1032" s="39"/>
      <c r="BK1032" s="39"/>
    </row>
    <row r="1033" spans="2:63" x14ac:dyDescent="0.2">
      <c r="B1033" s="38"/>
      <c r="AY1033" s="39"/>
      <c r="AZ1033" s="39"/>
      <c r="BA1033" s="39"/>
      <c r="BK1033" s="39"/>
    </row>
    <row r="1034" spans="2:63" x14ac:dyDescent="0.2">
      <c r="B1034" s="38"/>
      <c r="AY1034" s="39"/>
      <c r="AZ1034" s="39"/>
      <c r="BA1034" s="39"/>
      <c r="BK1034" s="39"/>
    </row>
    <row r="1035" spans="2:63" x14ac:dyDescent="0.2">
      <c r="B1035" s="38"/>
      <c r="AY1035" s="39"/>
      <c r="AZ1035" s="39"/>
      <c r="BA1035" s="39"/>
      <c r="BK1035" s="39"/>
    </row>
    <row r="1036" spans="2:63" x14ac:dyDescent="0.2">
      <c r="B1036" s="38"/>
      <c r="AY1036" s="39"/>
      <c r="AZ1036" s="39"/>
      <c r="BA1036" s="39"/>
      <c r="BK1036" s="39"/>
    </row>
    <row r="1037" spans="2:63" x14ac:dyDescent="0.2">
      <c r="B1037" s="38"/>
      <c r="AY1037" s="39"/>
      <c r="AZ1037" s="39"/>
      <c r="BA1037" s="39"/>
      <c r="BK1037" s="39"/>
    </row>
    <row r="1038" spans="2:63" x14ac:dyDescent="0.2">
      <c r="B1038" s="38"/>
      <c r="AY1038" s="39"/>
      <c r="AZ1038" s="39"/>
      <c r="BA1038" s="39"/>
      <c r="BK1038" s="39"/>
    </row>
    <row r="1039" spans="2:63" x14ac:dyDescent="0.2">
      <c r="B1039" s="38"/>
      <c r="AY1039" s="39"/>
      <c r="AZ1039" s="39"/>
      <c r="BA1039" s="39"/>
      <c r="BK1039" s="39"/>
    </row>
    <row r="1040" spans="2:63" x14ac:dyDescent="0.2">
      <c r="B1040" s="38"/>
      <c r="AY1040" s="39"/>
      <c r="AZ1040" s="39"/>
      <c r="BA1040" s="39"/>
      <c r="BK1040" s="39"/>
    </row>
    <row r="1041" spans="2:63" x14ac:dyDescent="0.2">
      <c r="B1041" s="38"/>
      <c r="AY1041" s="39"/>
      <c r="AZ1041" s="39"/>
      <c r="BA1041" s="39"/>
      <c r="BK1041" s="39"/>
    </row>
    <row r="1042" spans="2:63" x14ac:dyDescent="0.2">
      <c r="B1042" s="38"/>
      <c r="AY1042" s="39"/>
      <c r="AZ1042" s="39"/>
      <c r="BA1042" s="39"/>
      <c r="BK1042" s="39"/>
    </row>
    <row r="1043" spans="2:63" x14ac:dyDescent="0.2">
      <c r="B1043" s="38"/>
      <c r="AY1043" s="39"/>
      <c r="AZ1043" s="39"/>
      <c r="BA1043" s="39"/>
      <c r="BK1043" s="39"/>
    </row>
    <row r="1044" spans="2:63" x14ac:dyDescent="0.2">
      <c r="B1044" s="38"/>
      <c r="AY1044" s="39"/>
      <c r="AZ1044" s="39"/>
      <c r="BA1044" s="39"/>
      <c r="BK1044" s="39"/>
    </row>
    <row r="1045" spans="2:63" x14ac:dyDescent="0.2">
      <c r="B1045" s="38"/>
      <c r="AY1045" s="39"/>
      <c r="AZ1045" s="39"/>
      <c r="BA1045" s="39"/>
      <c r="BK1045" s="39"/>
    </row>
    <row r="1046" spans="2:63" x14ac:dyDescent="0.2">
      <c r="B1046" s="38"/>
      <c r="AY1046" s="39"/>
      <c r="AZ1046" s="39"/>
      <c r="BA1046" s="39"/>
      <c r="BK1046" s="39"/>
    </row>
    <row r="1047" spans="2:63" x14ac:dyDescent="0.2">
      <c r="B1047" s="38"/>
      <c r="AY1047" s="39"/>
      <c r="AZ1047" s="39"/>
      <c r="BA1047" s="39"/>
      <c r="BK1047" s="39"/>
    </row>
    <row r="1048" spans="2:63" x14ac:dyDescent="0.2">
      <c r="B1048" s="38"/>
      <c r="AY1048" s="39"/>
      <c r="AZ1048" s="39"/>
      <c r="BA1048" s="39"/>
      <c r="BK1048" s="39"/>
    </row>
    <row r="1049" spans="2:63" x14ac:dyDescent="0.2">
      <c r="B1049" s="38"/>
      <c r="AY1049" s="39"/>
      <c r="AZ1049" s="39"/>
      <c r="BA1049" s="39"/>
      <c r="BK1049" s="39"/>
    </row>
    <row r="1050" spans="2:63" x14ac:dyDescent="0.2">
      <c r="B1050" s="38"/>
      <c r="AY1050" s="39"/>
      <c r="AZ1050" s="39"/>
      <c r="BA1050" s="39"/>
      <c r="BK1050" s="39"/>
    </row>
    <row r="1051" spans="2:63" x14ac:dyDescent="0.2">
      <c r="B1051" s="38"/>
      <c r="AY1051" s="39"/>
      <c r="AZ1051" s="39"/>
      <c r="BA1051" s="39"/>
      <c r="BK1051" s="39"/>
    </row>
    <row r="1052" spans="2:63" x14ac:dyDescent="0.2">
      <c r="B1052" s="38"/>
      <c r="AY1052" s="39"/>
      <c r="AZ1052" s="39"/>
      <c r="BA1052" s="39"/>
      <c r="BK1052" s="39"/>
    </row>
    <row r="1053" spans="2:63" x14ac:dyDescent="0.2">
      <c r="B1053" s="38"/>
      <c r="AY1053" s="39"/>
      <c r="AZ1053" s="39"/>
      <c r="BA1053" s="39"/>
      <c r="BK1053" s="39"/>
    </row>
    <row r="1054" spans="2:63" x14ac:dyDescent="0.2">
      <c r="B1054" s="38"/>
      <c r="AY1054" s="39"/>
      <c r="AZ1054" s="39"/>
      <c r="BA1054" s="39"/>
      <c r="BK1054" s="39"/>
    </row>
    <row r="1055" spans="2:63" x14ac:dyDescent="0.2">
      <c r="B1055" s="38"/>
      <c r="AY1055" s="39"/>
      <c r="AZ1055" s="39"/>
      <c r="BA1055" s="39"/>
      <c r="BK1055" s="39"/>
    </row>
    <row r="1056" spans="2:63" x14ac:dyDescent="0.2">
      <c r="B1056" s="38"/>
      <c r="AY1056" s="39"/>
      <c r="AZ1056" s="39"/>
      <c r="BA1056" s="39"/>
      <c r="BK1056" s="39"/>
    </row>
    <row r="1057" spans="2:63" x14ac:dyDescent="0.2">
      <c r="B1057" s="38"/>
      <c r="AY1057" s="39"/>
      <c r="AZ1057" s="39"/>
      <c r="BA1057" s="39"/>
      <c r="BK1057" s="39"/>
    </row>
    <row r="1058" spans="2:63" x14ac:dyDescent="0.2">
      <c r="B1058" s="38"/>
      <c r="AY1058" s="39"/>
      <c r="AZ1058" s="39"/>
      <c r="BA1058" s="39"/>
      <c r="BK1058" s="39"/>
    </row>
    <row r="1059" spans="2:63" x14ac:dyDescent="0.2">
      <c r="B1059" s="38"/>
      <c r="AY1059" s="39"/>
      <c r="AZ1059" s="39"/>
      <c r="BA1059" s="39"/>
      <c r="BK1059" s="39"/>
    </row>
    <row r="1060" spans="2:63" x14ac:dyDescent="0.2">
      <c r="B1060" s="38"/>
      <c r="AY1060" s="39"/>
      <c r="AZ1060" s="39"/>
      <c r="BA1060" s="39"/>
      <c r="BK1060" s="39"/>
    </row>
    <row r="1061" spans="2:63" x14ac:dyDescent="0.2">
      <c r="B1061" s="38"/>
      <c r="AY1061" s="39"/>
      <c r="AZ1061" s="39"/>
      <c r="BA1061" s="39"/>
      <c r="BK1061" s="39"/>
    </row>
    <row r="1062" spans="2:63" x14ac:dyDescent="0.2">
      <c r="B1062" s="38"/>
      <c r="AY1062" s="39"/>
      <c r="AZ1062" s="39"/>
      <c r="BA1062" s="39"/>
      <c r="BK1062" s="39"/>
    </row>
    <row r="1063" spans="2:63" x14ac:dyDescent="0.2">
      <c r="B1063" s="38"/>
      <c r="AY1063" s="39"/>
      <c r="AZ1063" s="39"/>
      <c r="BA1063" s="39"/>
      <c r="BK1063" s="39"/>
    </row>
    <row r="1064" spans="2:63" x14ac:dyDescent="0.2">
      <c r="B1064" s="38"/>
      <c r="AY1064" s="39"/>
      <c r="AZ1064" s="39"/>
      <c r="BA1064" s="39"/>
      <c r="BK1064" s="39"/>
    </row>
    <row r="1065" spans="2:63" x14ac:dyDescent="0.2">
      <c r="B1065" s="38"/>
      <c r="AY1065" s="39"/>
      <c r="AZ1065" s="39"/>
      <c r="BA1065" s="39"/>
      <c r="BK1065" s="39"/>
    </row>
    <row r="1066" spans="2:63" x14ac:dyDescent="0.2">
      <c r="B1066" s="38"/>
      <c r="AY1066" s="39"/>
      <c r="AZ1066" s="39"/>
      <c r="BA1066" s="39"/>
      <c r="BK1066" s="39"/>
    </row>
    <row r="1067" spans="2:63" x14ac:dyDescent="0.2">
      <c r="B1067" s="38"/>
      <c r="AY1067" s="39"/>
      <c r="AZ1067" s="39"/>
      <c r="BA1067" s="39"/>
      <c r="BK1067" s="39"/>
    </row>
    <row r="1068" spans="2:63" x14ac:dyDescent="0.2">
      <c r="B1068" s="38"/>
      <c r="AY1068" s="39"/>
      <c r="AZ1068" s="39"/>
      <c r="BA1068" s="39"/>
      <c r="BK1068" s="39"/>
    </row>
    <row r="1069" spans="2:63" x14ac:dyDescent="0.2">
      <c r="B1069" s="38"/>
      <c r="AY1069" s="39"/>
      <c r="AZ1069" s="39"/>
      <c r="BA1069" s="39"/>
      <c r="BK1069" s="39"/>
    </row>
    <row r="1070" spans="2:63" x14ac:dyDescent="0.2">
      <c r="B1070" s="38"/>
      <c r="AY1070" s="39"/>
      <c r="AZ1070" s="39"/>
      <c r="BA1070" s="39"/>
      <c r="BK1070" s="39"/>
    </row>
    <row r="1071" spans="2:63" x14ac:dyDescent="0.2">
      <c r="B1071" s="38"/>
      <c r="AY1071" s="39"/>
      <c r="AZ1071" s="39"/>
      <c r="BA1071" s="39"/>
      <c r="BK1071" s="39"/>
    </row>
    <row r="1072" spans="2:63" x14ac:dyDescent="0.2">
      <c r="B1072" s="38"/>
      <c r="AY1072" s="39"/>
      <c r="AZ1072" s="39"/>
      <c r="BA1072" s="39"/>
      <c r="BK1072" s="39"/>
    </row>
    <row r="1073" spans="2:63" x14ac:dyDescent="0.2">
      <c r="B1073" s="38"/>
      <c r="AY1073" s="39"/>
      <c r="AZ1073" s="39"/>
      <c r="BA1073" s="39"/>
      <c r="BK1073" s="39"/>
    </row>
    <row r="1074" spans="2:63" x14ac:dyDescent="0.2">
      <c r="B1074" s="38"/>
      <c r="AY1074" s="39"/>
      <c r="AZ1074" s="39"/>
      <c r="BA1074" s="39"/>
      <c r="BK1074" s="39"/>
    </row>
    <row r="1075" spans="2:63" x14ac:dyDescent="0.2">
      <c r="B1075" s="38"/>
      <c r="AY1075" s="39"/>
      <c r="AZ1075" s="39"/>
      <c r="BA1075" s="39"/>
      <c r="BK1075" s="39"/>
    </row>
    <row r="1076" spans="2:63" x14ac:dyDescent="0.2">
      <c r="B1076" s="38"/>
      <c r="AY1076" s="39"/>
      <c r="AZ1076" s="39"/>
      <c r="BA1076" s="39"/>
      <c r="BK1076" s="39"/>
    </row>
    <row r="1077" spans="2:63" x14ac:dyDescent="0.2">
      <c r="B1077" s="38"/>
      <c r="AY1077" s="39"/>
      <c r="AZ1077" s="39"/>
      <c r="BA1077" s="39"/>
      <c r="BK1077" s="39"/>
    </row>
    <row r="1078" spans="2:63" x14ac:dyDescent="0.2">
      <c r="B1078" s="38"/>
      <c r="AY1078" s="39"/>
      <c r="AZ1078" s="39"/>
      <c r="BA1078" s="39"/>
      <c r="BK1078" s="39"/>
    </row>
    <row r="1079" spans="2:63" x14ac:dyDescent="0.2">
      <c r="B1079" s="38"/>
      <c r="AY1079" s="39"/>
      <c r="AZ1079" s="39"/>
      <c r="BA1079" s="39"/>
      <c r="BK1079" s="39"/>
    </row>
    <row r="1080" spans="2:63" x14ac:dyDescent="0.2">
      <c r="B1080" s="38"/>
      <c r="AY1080" s="39"/>
      <c r="AZ1080" s="39"/>
      <c r="BA1080" s="39"/>
      <c r="BK1080" s="39"/>
    </row>
    <row r="1081" spans="2:63" x14ac:dyDescent="0.2">
      <c r="B1081" s="38"/>
      <c r="AY1081" s="39"/>
      <c r="AZ1081" s="39"/>
      <c r="BA1081" s="39"/>
      <c r="BK1081" s="39"/>
    </row>
    <row r="1082" spans="2:63" x14ac:dyDescent="0.2">
      <c r="B1082" s="38"/>
      <c r="AY1082" s="39"/>
      <c r="AZ1082" s="39"/>
      <c r="BA1082" s="39"/>
      <c r="BK1082" s="39"/>
    </row>
    <row r="1083" spans="2:63" x14ac:dyDescent="0.2">
      <c r="B1083" s="38"/>
      <c r="AY1083" s="39"/>
      <c r="AZ1083" s="39"/>
      <c r="BA1083" s="39"/>
      <c r="BK1083" s="39"/>
    </row>
    <row r="1084" spans="2:63" x14ac:dyDescent="0.2">
      <c r="B1084" s="38"/>
      <c r="AY1084" s="39"/>
      <c r="AZ1084" s="39"/>
      <c r="BA1084" s="39"/>
      <c r="BK1084" s="39"/>
    </row>
    <row r="1085" spans="2:63" x14ac:dyDescent="0.2">
      <c r="B1085" s="38"/>
      <c r="AY1085" s="39"/>
      <c r="AZ1085" s="39"/>
      <c r="BA1085" s="39"/>
      <c r="BK1085" s="39"/>
    </row>
    <row r="1086" spans="2:63" x14ac:dyDescent="0.2">
      <c r="B1086" s="38"/>
      <c r="AY1086" s="39"/>
      <c r="AZ1086" s="39"/>
      <c r="BA1086" s="39"/>
      <c r="BK1086" s="39"/>
    </row>
    <row r="1087" spans="2:63" x14ac:dyDescent="0.2">
      <c r="B1087" s="38"/>
      <c r="AY1087" s="39"/>
      <c r="AZ1087" s="39"/>
      <c r="BA1087" s="39"/>
      <c r="BK1087" s="39"/>
    </row>
    <row r="1088" spans="2:63" x14ac:dyDescent="0.2">
      <c r="B1088" s="38"/>
      <c r="AY1088" s="39"/>
      <c r="AZ1088" s="39"/>
      <c r="BA1088" s="39"/>
      <c r="BK1088" s="39"/>
    </row>
    <row r="1089" spans="2:63" x14ac:dyDescent="0.2">
      <c r="B1089" s="38"/>
      <c r="AY1089" s="39"/>
      <c r="AZ1089" s="39"/>
      <c r="BA1089" s="39"/>
      <c r="BK1089" s="39"/>
    </row>
    <row r="1090" spans="2:63" x14ac:dyDescent="0.2">
      <c r="B1090" s="38"/>
      <c r="AY1090" s="39"/>
      <c r="AZ1090" s="39"/>
      <c r="BA1090" s="39"/>
      <c r="BK1090" s="39"/>
    </row>
    <row r="1091" spans="2:63" x14ac:dyDescent="0.2">
      <c r="B1091" s="38"/>
      <c r="AY1091" s="39"/>
      <c r="AZ1091" s="39"/>
      <c r="BA1091" s="39"/>
      <c r="BK1091" s="39"/>
    </row>
    <row r="1092" spans="2:63" x14ac:dyDescent="0.2">
      <c r="B1092" s="38"/>
      <c r="AY1092" s="39"/>
      <c r="AZ1092" s="39"/>
      <c r="BA1092" s="39"/>
      <c r="BK1092" s="39"/>
    </row>
    <row r="1093" spans="2:63" x14ac:dyDescent="0.2">
      <c r="B1093" s="38"/>
      <c r="AY1093" s="39"/>
      <c r="AZ1093" s="39"/>
      <c r="BA1093" s="39"/>
      <c r="BK1093" s="39"/>
    </row>
    <row r="1094" spans="2:63" x14ac:dyDescent="0.2">
      <c r="B1094" s="38"/>
      <c r="AY1094" s="39"/>
      <c r="AZ1094" s="39"/>
      <c r="BA1094" s="39"/>
      <c r="BK1094" s="39"/>
    </row>
    <row r="1095" spans="2:63" x14ac:dyDescent="0.2">
      <c r="B1095" s="38"/>
      <c r="AY1095" s="39"/>
      <c r="AZ1095" s="39"/>
      <c r="BA1095" s="39"/>
      <c r="BK1095" s="39"/>
    </row>
    <row r="1096" spans="2:63" x14ac:dyDescent="0.2">
      <c r="B1096" s="38"/>
      <c r="AY1096" s="39"/>
      <c r="AZ1096" s="39"/>
      <c r="BA1096" s="39"/>
      <c r="BK1096" s="39"/>
    </row>
    <row r="1097" spans="2:63" x14ac:dyDescent="0.2">
      <c r="B1097" s="38"/>
      <c r="AY1097" s="39"/>
      <c r="AZ1097" s="39"/>
      <c r="BA1097" s="39"/>
      <c r="BK1097" s="39"/>
    </row>
    <row r="1098" spans="2:63" x14ac:dyDescent="0.2">
      <c r="B1098" s="38"/>
      <c r="AY1098" s="39"/>
      <c r="AZ1098" s="39"/>
      <c r="BA1098" s="39"/>
      <c r="BK1098" s="39"/>
    </row>
    <row r="1099" spans="2:63" x14ac:dyDescent="0.2">
      <c r="B1099" s="38"/>
      <c r="AY1099" s="39"/>
      <c r="AZ1099" s="39"/>
      <c r="BA1099" s="39"/>
      <c r="BK1099" s="39"/>
    </row>
    <row r="1100" spans="2:63" x14ac:dyDescent="0.2">
      <c r="B1100" s="38"/>
      <c r="AY1100" s="39"/>
      <c r="AZ1100" s="39"/>
      <c r="BA1100" s="39"/>
      <c r="BK1100" s="39"/>
    </row>
    <row r="1101" spans="2:63" x14ac:dyDescent="0.2">
      <c r="B1101" s="38"/>
      <c r="AY1101" s="39"/>
      <c r="AZ1101" s="39"/>
      <c r="BA1101" s="39"/>
      <c r="BK1101" s="39"/>
    </row>
    <row r="1102" spans="2:63" x14ac:dyDescent="0.2">
      <c r="B1102" s="38"/>
      <c r="AY1102" s="39"/>
      <c r="AZ1102" s="39"/>
      <c r="BA1102" s="39"/>
      <c r="BK1102" s="39"/>
    </row>
    <row r="1103" spans="2:63" x14ac:dyDescent="0.2">
      <c r="B1103" s="38"/>
      <c r="AY1103" s="39"/>
      <c r="AZ1103" s="39"/>
      <c r="BA1103" s="39"/>
      <c r="BK1103" s="39"/>
    </row>
    <row r="1104" spans="2:63" x14ac:dyDescent="0.2">
      <c r="B1104" s="38"/>
      <c r="AY1104" s="39"/>
      <c r="AZ1104" s="39"/>
      <c r="BA1104" s="39"/>
      <c r="BK1104" s="39"/>
    </row>
    <row r="1105" spans="2:63" x14ac:dyDescent="0.2">
      <c r="B1105" s="38"/>
      <c r="AY1105" s="39"/>
      <c r="AZ1105" s="39"/>
      <c r="BA1105" s="39"/>
      <c r="BK1105" s="39"/>
    </row>
    <row r="1106" spans="2:63" x14ac:dyDescent="0.2">
      <c r="B1106" s="38"/>
      <c r="AY1106" s="39"/>
      <c r="AZ1106" s="39"/>
      <c r="BA1106" s="39"/>
      <c r="BK1106" s="39"/>
    </row>
    <row r="1107" spans="2:63" x14ac:dyDescent="0.2">
      <c r="B1107" s="38"/>
      <c r="AY1107" s="39"/>
      <c r="AZ1107" s="39"/>
      <c r="BA1107" s="39"/>
      <c r="BK1107" s="39"/>
    </row>
    <row r="1108" spans="2:63" x14ac:dyDescent="0.2">
      <c r="B1108" s="38"/>
      <c r="AY1108" s="39"/>
      <c r="AZ1108" s="39"/>
      <c r="BA1108" s="39"/>
      <c r="BK1108" s="39"/>
    </row>
    <row r="1109" spans="2:63" x14ac:dyDescent="0.2">
      <c r="B1109" s="38"/>
      <c r="AY1109" s="39"/>
      <c r="AZ1109" s="39"/>
      <c r="BA1109" s="39"/>
      <c r="BK1109" s="39"/>
    </row>
    <row r="1110" spans="2:63" x14ac:dyDescent="0.2">
      <c r="B1110" s="38"/>
      <c r="AY1110" s="39"/>
      <c r="AZ1110" s="39"/>
      <c r="BA1110" s="39"/>
      <c r="BK1110" s="39"/>
    </row>
    <row r="1111" spans="2:63" x14ac:dyDescent="0.2">
      <c r="B1111" s="38"/>
      <c r="AY1111" s="39"/>
      <c r="AZ1111" s="39"/>
      <c r="BA1111" s="39"/>
      <c r="BK1111" s="39"/>
    </row>
    <row r="1112" spans="2:63" x14ac:dyDescent="0.2">
      <c r="B1112" s="38"/>
      <c r="AY1112" s="39"/>
      <c r="AZ1112" s="39"/>
      <c r="BA1112" s="39"/>
      <c r="BK1112" s="39"/>
    </row>
    <row r="1113" spans="2:63" x14ac:dyDescent="0.2">
      <c r="B1113" s="38"/>
      <c r="AY1113" s="39"/>
      <c r="AZ1113" s="39"/>
      <c r="BA1113" s="39"/>
      <c r="BK1113" s="39"/>
    </row>
    <row r="1114" spans="2:63" x14ac:dyDescent="0.2">
      <c r="B1114" s="38"/>
      <c r="AY1114" s="39"/>
      <c r="AZ1114" s="39"/>
      <c r="BA1114" s="39"/>
      <c r="BK1114" s="39"/>
    </row>
    <row r="1115" spans="2:63" x14ac:dyDescent="0.2">
      <c r="B1115" s="38"/>
      <c r="AY1115" s="39"/>
      <c r="AZ1115" s="39"/>
      <c r="BA1115" s="39"/>
      <c r="BK1115" s="39"/>
    </row>
    <row r="1116" spans="2:63" x14ac:dyDescent="0.2">
      <c r="B1116" s="38"/>
      <c r="AY1116" s="39"/>
      <c r="AZ1116" s="39"/>
      <c r="BA1116" s="39"/>
      <c r="BK1116" s="39"/>
    </row>
    <row r="1117" spans="2:63" x14ac:dyDescent="0.2">
      <c r="B1117" s="38"/>
      <c r="AY1117" s="39"/>
      <c r="AZ1117" s="39"/>
      <c r="BA1117" s="39"/>
      <c r="BK1117" s="39"/>
    </row>
    <row r="1118" spans="2:63" x14ac:dyDescent="0.2">
      <c r="B1118" s="38"/>
      <c r="AY1118" s="39"/>
      <c r="AZ1118" s="39"/>
      <c r="BA1118" s="39"/>
      <c r="BK1118" s="39"/>
    </row>
    <row r="1119" spans="2:63" x14ac:dyDescent="0.2">
      <c r="B1119" s="38"/>
      <c r="AY1119" s="39"/>
      <c r="AZ1119" s="39"/>
      <c r="BA1119" s="39"/>
      <c r="BK1119" s="39"/>
    </row>
    <row r="1120" spans="2:63" x14ac:dyDescent="0.2">
      <c r="B1120" s="38"/>
      <c r="AY1120" s="39"/>
      <c r="AZ1120" s="39"/>
      <c r="BA1120" s="39"/>
      <c r="BK1120" s="39"/>
    </row>
    <row r="1121" spans="2:63" x14ac:dyDescent="0.2">
      <c r="B1121" s="38"/>
      <c r="AY1121" s="39"/>
      <c r="AZ1121" s="39"/>
      <c r="BA1121" s="39"/>
      <c r="BK1121" s="39"/>
    </row>
    <row r="1122" spans="2:63" x14ac:dyDescent="0.2">
      <c r="B1122" s="38"/>
      <c r="AY1122" s="39"/>
      <c r="AZ1122" s="39"/>
      <c r="BA1122" s="39"/>
      <c r="BK1122" s="39"/>
    </row>
    <row r="1123" spans="2:63" x14ac:dyDescent="0.2">
      <c r="B1123" s="38"/>
      <c r="AY1123" s="39"/>
      <c r="AZ1123" s="39"/>
      <c r="BA1123" s="39"/>
      <c r="BK1123" s="39"/>
    </row>
    <row r="1124" spans="2:63" x14ac:dyDescent="0.2">
      <c r="B1124" s="38"/>
      <c r="AY1124" s="39"/>
      <c r="AZ1124" s="39"/>
      <c r="BA1124" s="39"/>
      <c r="BK1124" s="39"/>
    </row>
    <row r="1125" spans="2:63" x14ac:dyDescent="0.2">
      <c r="B1125" s="38"/>
      <c r="AY1125" s="39"/>
      <c r="AZ1125" s="39"/>
      <c r="BA1125" s="39"/>
      <c r="BK1125" s="39"/>
    </row>
    <row r="1126" spans="2:63" x14ac:dyDescent="0.2">
      <c r="B1126" s="38"/>
      <c r="AY1126" s="39"/>
      <c r="AZ1126" s="39"/>
      <c r="BA1126" s="39"/>
      <c r="BK1126" s="39"/>
    </row>
    <row r="1127" spans="2:63" x14ac:dyDescent="0.2">
      <c r="B1127" s="38"/>
      <c r="AY1127" s="39"/>
      <c r="AZ1127" s="39"/>
      <c r="BA1127" s="39"/>
      <c r="BK1127" s="39"/>
    </row>
    <row r="1128" spans="2:63" x14ac:dyDescent="0.2">
      <c r="B1128" s="38"/>
      <c r="AY1128" s="39"/>
      <c r="AZ1128" s="39"/>
      <c r="BA1128" s="39"/>
      <c r="BK1128" s="39"/>
    </row>
    <row r="1129" spans="2:63" x14ac:dyDescent="0.2">
      <c r="B1129" s="38"/>
      <c r="AY1129" s="39"/>
      <c r="AZ1129" s="39"/>
      <c r="BA1129" s="39"/>
      <c r="BK1129" s="39"/>
    </row>
    <row r="1130" spans="2:63" x14ac:dyDescent="0.2">
      <c r="B1130" s="38"/>
      <c r="AY1130" s="39"/>
      <c r="AZ1130" s="39"/>
      <c r="BA1130" s="39"/>
      <c r="BK1130" s="39"/>
    </row>
    <row r="1131" spans="2:63" x14ac:dyDescent="0.2">
      <c r="B1131" s="38"/>
      <c r="AY1131" s="39"/>
      <c r="AZ1131" s="39"/>
      <c r="BA1131" s="39"/>
      <c r="BK1131" s="39"/>
    </row>
    <row r="1132" spans="2:63" x14ac:dyDescent="0.2">
      <c r="B1132" s="38"/>
      <c r="AY1132" s="39"/>
      <c r="AZ1132" s="39"/>
      <c r="BA1132" s="39"/>
      <c r="BK1132" s="39"/>
    </row>
    <row r="1133" spans="2:63" x14ac:dyDescent="0.2">
      <c r="B1133" s="38"/>
      <c r="AY1133" s="39"/>
      <c r="AZ1133" s="39"/>
      <c r="BA1133" s="39"/>
      <c r="BK1133" s="39"/>
    </row>
    <row r="1134" spans="2:63" x14ac:dyDescent="0.2">
      <c r="B1134" s="38"/>
      <c r="AY1134" s="39"/>
      <c r="AZ1134" s="39"/>
      <c r="BA1134" s="39"/>
      <c r="BK1134" s="39"/>
    </row>
    <row r="1135" spans="2:63" x14ac:dyDescent="0.2">
      <c r="B1135" s="38"/>
      <c r="AY1135" s="39"/>
      <c r="AZ1135" s="39"/>
      <c r="BA1135" s="39"/>
      <c r="BK1135" s="39"/>
    </row>
    <row r="1136" spans="2:63" x14ac:dyDescent="0.2">
      <c r="B1136" s="38"/>
      <c r="AY1136" s="39"/>
      <c r="AZ1136" s="39"/>
      <c r="BA1136" s="39"/>
      <c r="BK1136" s="39"/>
    </row>
    <row r="1137" spans="2:63" x14ac:dyDescent="0.2">
      <c r="B1137" s="38"/>
      <c r="AY1137" s="39"/>
      <c r="AZ1137" s="39"/>
      <c r="BA1137" s="39"/>
      <c r="BK1137" s="39"/>
    </row>
    <row r="1138" spans="2:63" x14ac:dyDescent="0.2">
      <c r="B1138" s="38"/>
      <c r="AY1138" s="39"/>
      <c r="AZ1138" s="39"/>
      <c r="BA1138" s="39"/>
      <c r="BK1138" s="39"/>
    </row>
    <row r="1139" spans="2:63" x14ac:dyDescent="0.2">
      <c r="B1139" s="38"/>
      <c r="AY1139" s="39"/>
      <c r="AZ1139" s="39"/>
      <c r="BA1139" s="39"/>
      <c r="BK1139" s="39"/>
    </row>
    <row r="1140" spans="2:63" x14ac:dyDescent="0.2">
      <c r="B1140" s="38"/>
      <c r="AY1140" s="39"/>
      <c r="AZ1140" s="39"/>
      <c r="BA1140" s="39"/>
      <c r="BK1140" s="39"/>
    </row>
    <row r="1141" spans="2:63" x14ac:dyDescent="0.2">
      <c r="B1141" s="38"/>
      <c r="AY1141" s="39"/>
      <c r="AZ1141" s="39"/>
      <c r="BA1141" s="39"/>
      <c r="BK1141" s="39"/>
    </row>
    <row r="1142" spans="2:63" x14ac:dyDescent="0.2">
      <c r="B1142" s="38"/>
      <c r="AY1142" s="39"/>
      <c r="AZ1142" s="39"/>
      <c r="BA1142" s="39"/>
      <c r="BK1142" s="39"/>
    </row>
    <row r="1143" spans="2:63" x14ac:dyDescent="0.2">
      <c r="B1143" s="38"/>
      <c r="AY1143" s="39"/>
      <c r="AZ1143" s="39"/>
      <c r="BA1143" s="39"/>
      <c r="BK1143" s="39"/>
    </row>
    <row r="1144" spans="2:63" x14ac:dyDescent="0.2">
      <c r="B1144" s="38"/>
      <c r="AY1144" s="39"/>
      <c r="AZ1144" s="39"/>
      <c r="BA1144" s="39"/>
      <c r="BK1144" s="39"/>
    </row>
    <row r="1145" spans="2:63" x14ac:dyDescent="0.2">
      <c r="B1145" s="38"/>
      <c r="AY1145" s="39"/>
      <c r="AZ1145" s="39"/>
      <c r="BA1145" s="39"/>
      <c r="BK1145" s="39"/>
    </row>
    <row r="1146" spans="2:63" x14ac:dyDescent="0.2">
      <c r="B1146" s="38"/>
      <c r="AY1146" s="39"/>
      <c r="AZ1146" s="39"/>
      <c r="BA1146" s="39"/>
      <c r="BK1146" s="39"/>
    </row>
    <row r="1147" spans="2:63" x14ac:dyDescent="0.2">
      <c r="B1147" s="38"/>
      <c r="AY1147" s="39"/>
      <c r="AZ1147" s="39"/>
      <c r="BA1147" s="39"/>
      <c r="BK1147" s="39"/>
    </row>
    <row r="1148" spans="2:63" x14ac:dyDescent="0.2">
      <c r="B1148" s="38"/>
      <c r="AY1148" s="39"/>
      <c r="AZ1148" s="39"/>
      <c r="BA1148" s="39"/>
      <c r="BK1148" s="39"/>
    </row>
    <row r="1149" spans="2:63" x14ac:dyDescent="0.2">
      <c r="B1149" s="38"/>
      <c r="AY1149" s="39"/>
      <c r="AZ1149" s="39"/>
      <c r="BA1149" s="39"/>
      <c r="BK1149" s="39"/>
    </row>
    <row r="1150" spans="2:63" x14ac:dyDescent="0.2">
      <c r="B1150" s="38"/>
      <c r="AY1150" s="39"/>
      <c r="AZ1150" s="39"/>
      <c r="BA1150" s="39"/>
      <c r="BK1150" s="39"/>
    </row>
    <row r="1151" spans="2:63" x14ac:dyDescent="0.2">
      <c r="B1151" s="38"/>
      <c r="AY1151" s="39"/>
      <c r="AZ1151" s="39"/>
      <c r="BA1151" s="39"/>
      <c r="BK1151" s="39"/>
    </row>
    <row r="1152" spans="2:63" x14ac:dyDescent="0.2">
      <c r="B1152" s="38"/>
      <c r="AY1152" s="39"/>
      <c r="AZ1152" s="39"/>
      <c r="BA1152" s="39"/>
      <c r="BK1152" s="39"/>
    </row>
    <row r="1153" spans="2:63" x14ac:dyDescent="0.2">
      <c r="B1153" s="38"/>
      <c r="AY1153" s="39"/>
      <c r="AZ1153" s="39"/>
      <c r="BA1153" s="39"/>
      <c r="BK1153" s="39"/>
    </row>
    <row r="1154" spans="2:63" x14ac:dyDescent="0.2">
      <c r="B1154" s="38"/>
      <c r="AY1154" s="39"/>
      <c r="AZ1154" s="39"/>
      <c r="BA1154" s="39"/>
      <c r="BK1154" s="39"/>
    </row>
    <row r="1155" spans="2:63" x14ac:dyDescent="0.2">
      <c r="B1155" s="38"/>
      <c r="AY1155" s="39"/>
      <c r="AZ1155" s="39"/>
      <c r="BA1155" s="39"/>
      <c r="BK1155" s="39"/>
    </row>
    <row r="1156" spans="2:63" x14ac:dyDescent="0.2">
      <c r="B1156" s="38"/>
      <c r="AY1156" s="39"/>
      <c r="AZ1156" s="39"/>
      <c r="BA1156" s="39"/>
      <c r="BK1156" s="39"/>
    </row>
    <row r="1157" spans="2:63" x14ac:dyDescent="0.2">
      <c r="B1157" s="38"/>
      <c r="AY1157" s="39"/>
      <c r="AZ1157" s="39"/>
      <c r="BA1157" s="39"/>
      <c r="BK1157" s="39"/>
    </row>
    <row r="1158" spans="2:63" x14ac:dyDescent="0.2">
      <c r="B1158" s="38"/>
      <c r="AY1158" s="39"/>
      <c r="AZ1158" s="39"/>
      <c r="BA1158" s="39"/>
      <c r="BK1158" s="39"/>
    </row>
    <row r="1159" spans="2:63" x14ac:dyDescent="0.2">
      <c r="B1159" s="38"/>
      <c r="AY1159" s="39"/>
      <c r="AZ1159" s="39"/>
      <c r="BA1159" s="39"/>
      <c r="BK1159" s="39"/>
    </row>
    <row r="1160" spans="2:63" x14ac:dyDescent="0.2">
      <c r="B1160" s="38"/>
      <c r="AY1160" s="39"/>
      <c r="AZ1160" s="39"/>
      <c r="BA1160" s="39"/>
      <c r="BK1160" s="39"/>
    </row>
    <row r="1161" spans="2:63" x14ac:dyDescent="0.2">
      <c r="B1161" s="38"/>
      <c r="AY1161" s="39"/>
      <c r="AZ1161" s="39"/>
      <c r="BA1161" s="39"/>
      <c r="BK1161" s="39"/>
    </row>
    <row r="1162" spans="2:63" x14ac:dyDescent="0.2">
      <c r="B1162" s="38"/>
      <c r="AY1162" s="39"/>
      <c r="AZ1162" s="39"/>
      <c r="BA1162" s="39"/>
      <c r="BK1162" s="39"/>
    </row>
    <row r="1163" spans="2:63" x14ac:dyDescent="0.2">
      <c r="B1163" s="38"/>
      <c r="AY1163" s="39"/>
      <c r="AZ1163" s="39"/>
      <c r="BA1163" s="39"/>
      <c r="BK1163" s="39"/>
    </row>
    <row r="1164" spans="2:63" x14ac:dyDescent="0.2">
      <c r="B1164" s="38"/>
      <c r="AY1164" s="39"/>
      <c r="AZ1164" s="39"/>
      <c r="BA1164" s="39"/>
      <c r="BK1164" s="39"/>
    </row>
    <row r="1165" spans="2:63" x14ac:dyDescent="0.2">
      <c r="B1165" s="38"/>
      <c r="AY1165" s="39"/>
      <c r="AZ1165" s="39"/>
      <c r="BA1165" s="39"/>
      <c r="BK1165" s="39"/>
    </row>
    <row r="1166" spans="2:63" x14ac:dyDescent="0.2">
      <c r="B1166" s="38"/>
      <c r="AY1166" s="39"/>
      <c r="AZ1166" s="39"/>
      <c r="BA1166" s="39"/>
      <c r="BK1166" s="39"/>
    </row>
    <row r="1167" spans="2:63" x14ac:dyDescent="0.2">
      <c r="B1167" s="38"/>
      <c r="AY1167" s="39"/>
      <c r="AZ1167" s="39"/>
      <c r="BA1167" s="39"/>
      <c r="BK1167" s="39"/>
    </row>
    <row r="1168" spans="2:63" x14ac:dyDescent="0.2">
      <c r="B1168" s="38"/>
      <c r="AY1168" s="39"/>
      <c r="AZ1168" s="39"/>
      <c r="BA1168" s="39"/>
      <c r="BK1168" s="39"/>
    </row>
    <row r="1169" spans="2:63" x14ac:dyDescent="0.2">
      <c r="B1169" s="38"/>
      <c r="AY1169" s="39"/>
      <c r="AZ1169" s="39"/>
      <c r="BA1169" s="39"/>
      <c r="BK1169" s="39"/>
    </row>
    <row r="1170" spans="2:63" x14ac:dyDescent="0.2">
      <c r="B1170" s="38"/>
      <c r="AY1170" s="39"/>
      <c r="AZ1170" s="39"/>
      <c r="BA1170" s="39"/>
      <c r="BK1170" s="39"/>
    </row>
    <row r="1171" spans="2:63" x14ac:dyDescent="0.2">
      <c r="B1171" s="38"/>
      <c r="AY1171" s="39"/>
      <c r="AZ1171" s="39"/>
      <c r="BA1171" s="39"/>
      <c r="BK1171" s="39"/>
    </row>
    <row r="1172" spans="2:63" x14ac:dyDescent="0.2">
      <c r="B1172" s="38"/>
      <c r="AY1172" s="39"/>
      <c r="AZ1172" s="39"/>
      <c r="BA1172" s="39"/>
      <c r="BK1172" s="39"/>
    </row>
    <row r="1173" spans="2:63" x14ac:dyDescent="0.2">
      <c r="B1173" s="38"/>
      <c r="AY1173" s="39"/>
      <c r="AZ1173" s="39"/>
      <c r="BA1173" s="39"/>
      <c r="BK1173" s="39"/>
    </row>
    <row r="1174" spans="2:63" x14ac:dyDescent="0.2">
      <c r="B1174" s="38"/>
      <c r="AY1174" s="39"/>
      <c r="AZ1174" s="39"/>
      <c r="BA1174" s="39"/>
      <c r="BK1174" s="39"/>
    </row>
    <row r="1175" spans="2:63" x14ac:dyDescent="0.2">
      <c r="B1175" s="38"/>
      <c r="AY1175" s="39"/>
      <c r="AZ1175" s="39"/>
      <c r="BA1175" s="39"/>
      <c r="BK1175" s="39"/>
    </row>
    <row r="1176" spans="2:63" x14ac:dyDescent="0.2">
      <c r="B1176" s="38"/>
      <c r="AY1176" s="39"/>
      <c r="AZ1176" s="39"/>
      <c r="BA1176" s="39"/>
      <c r="BK1176" s="39"/>
    </row>
    <row r="1177" spans="2:63" x14ac:dyDescent="0.2">
      <c r="B1177" s="38"/>
      <c r="AY1177" s="39"/>
      <c r="AZ1177" s="39"/>
      <c r="BA1177" s="39"/>
      <c r="BK1177" s="39"/>
    </row>
    <row r="1178" spans="2:63" x14ac:dyDescent="0.2">
      <c r="B1178" s="38"/>
      <c r="AY1178" s="39"/>
      <c r="AZ1178" s="39"/>
      <c r="BA1178" s="39"/>
      <c r="BK1178" s="39"/>
    </row>
    <row r="1179" spans="2:63" x14ac:dyDescent="0.2">
      <c r="B1179" s="38"/>
      <c r="AY1179" s="39"/>
      <c r="AZ1179" s="39"/>
      <c r="BA1179" s="39"/>
      <c r="BK1179" s="39"/>
    </row>
    <row r="1180" spans="2:63" x14ac:dyDescent="0.2">
      <c r="B1180" s="38"/>
      <c r="AY1180" s="39"/>
      <c r="AZ1180" s="39"/>
      <c r="BA1180" s="39"/>
      <c r="BK1180" s="39"/>
    </row>
    <row r="1181" spans="2:63" x14ac:dyDescent="0.2">
      <c r="B1181" s="38"/>
      <c r="AY1181" s="39"/>
      <c r="AZ1181" s="39"/>
      <c r="BA1181" s="39"/>
      <c r="BK1181" s="39"/>
    </row>
    <row r="1182" spans="2:63" x14ac:dyDescent="0.2">
      <c r="B1182" s="38"/>
      <c r="AY1182" s="39"/>
      <c r="AZ1182" s="39"/>
      <c r="BA1182" s="39"/>
      <c r="BK1182" s="39"/>
    </row>
    <row r="1183" spans="2:63" x14ac:dyDescent="0.2">
      <c r="B1183" s="38"/>
      <c r="AY1183" s="39"/>
      <c r="AZ1183" s="39"/>
      <c r="BA1183" s="39"/>
      <c r="BK1183" s="39"/>
    </row>
    <row r="1184" spans="2:63" x14ac:dyDescent="0.2">
      <c r="B1184" s="38"/>
      <c r="AY1184" s="39"/>
      <c r="AZ1184" s="39"/>
      <c r="BA1184" s="39"/>
      <c r="BK1184" s="39"/>
    </row>
    <row r="1185" spans="2:63" x14ac:dyDescent="0.2">
      <c r="B1185" s="38"/>
      <c r="AY1185" s="39"/>
      <c r="AZ1185" s="39"/>
      <c r="BA1185" s="39"/>
      <c r="BK1185" s="39"/>
    </row>
    <row r="1186" spans="2:63" x14ac:dyDescent="0.2">
      <c r="B1186" s="38"/>
      <c r="AY1186" s="39"/>
      <c r="AZ1186" s="39"/>
      <c r="BA1186" s="39"/>
      <c r="BK1186" s="39"/>
    </row>
    <row r="1187" spans="2:63" x14ac:dyDescent="0.2">
      <c r="B1187" s="38"/>
      <c r="AY1187" s="39"/>
      <c r="AZ1187" s="39"/>
      <c r="BA1187" s="39"/>
      <c r="BK1187" s="39"/>
    </row>
    <row r="1188" spans="2:63" x14ac:dyDescent="0.2">
      <c r="B1188" s="38"/>
      <c r="AY1188" s="39"/>
      <c r="AZ1188" s="39"/>
      <c r="BA1188" s="39"/>
      <c r="BK1188" s="39"/>
    </row>
    <row r="1189" spans="2:63" x14ac:dyDescent="0.2">
      <c r="B1189" s="38"/>
      <c r="AY1189" s="39"/>
      <c r="AZ1189" s="39"/>
      <c r="BA1189" s="39"/>
      <c r="BK1189" s="39"/>
    </row>
    <row r="1190" spans="2:63" x14ac:dyDescent="0.2">
      <c r="B1190" s="38"/>
      <c r="AY1190" s="39"/>
      <c r="AZ1190" s="39"/>
      <c r="BA1190" s="39"/>
      <c r="BK1190" s="39"/>
    </row>
    <row r="1191" spans="2:63" x14ac:dyDescent="0.2">
      <c r="B1191" s="38"/>
      <c r="AY1191" s="39"/>
      <c r="AZ1191" s="39"/>
      <c r="BA1191" s="39"/>
      <c r="BK1191" s="39"/>
    </row>
    <row r="1192" spans="2:63" x14ac:dyDescent="0.2">
      <c r="B1192" s="38"/>
      <c r="AY1192" s="39"/>
      <c r="AZ1192" s="39"/>
      <c r="BA1192" s="39"/>
      <c r="BK1192" s="39"/>
    </row>
    <row r="1193" spans="2:63" x14ac:dyDescent="0.2">
      <c r="B1193" s="38"/>
      <c r="AY1193" s="39"/>
      <c r="AZ1193" s="39"/>
      <c r="BA1193" s="39"/>
      <c r="BK1193" s="39"/>
    </row>
    <row r="1194" spans="2:63" x14ac:dyDescent="0.2">
      <c r="B1194" s="38"/>
      <c r="AY1194" s="39"/>
      <c r="AZ1194" s="39"/>
      <c r="BA1194" s="39"/>
      <c r="BK1194" s="39"/>
    </row>
    <row r="1195" spans="2:63" x14ac:dyDescent="0.2">
      <c r="B1195" s="38"/>
      <c r="AY1195" s="39"/>
      <c r="AZ1195" s="39"/>
      <c r="BA1195" s="39"/>
      <c r="BK1195" s="39"/>
    </row>
    <row r="1196" spans="2:63" x14ac:dyDescent="0.2">
      <c r="B1196" s="38"/>
      <c r="AY1196" s="39"/>
      <c r="AZ1196" s="39"/>
      <c r="BA1196" s="39"/>
      <c r="BK1196" s="39"/>
    </row>
    <row r="1197" spans="2:63" x14ac:dyDescent="0.2">
      <c r="B1197" s="38"/>
      <c r="AY1197" s="39"/>
      <c r="AZ1197" s="39"/>
      <c r="BA1197" s="39"/>
      <c r="BK1197" s="39"/>
    </row>
    <row r="1198" spans="2:63" x14ac:dyDescent="0.2">
      <c r="B1198" s="38"/>
      <c r="AY1198" s="39"/>
      <c r="AZ1198" s="39"/>
      <c r="BA1198" s="39"/>
      <c r="BK1198" s="39"/>
    </row>
    <row r="1199" spans="2:63" x14ac:dyDescent="0.2">
      <c r="B1199" s="38"/>
      <c r="AY1199" s="39"/>
      <c r="AZ1199" s="39"/>
      <c r="BA1199" s="39"/>
      <c r="BK1199" s="39"/>
    </row>
    <row r="1200" spans="2:63" x14ac:dyDescent="0.2">
      <c r="B1200" s="38"/>
      <c r="AY1200" s="39"/>
      <c r="AZ1200" s="39"/>
      <c r="BA1200" s="39"/>
      <c r="BK1200" s="39"/>
    </row>
    <row r="1201" spans="2:63" x14ac:dyDescent="0.2">
      <c r="B1201" s="38"/>
      <c r="AY1201" s="39"/>
      <c r="AZ1201" s="39"/>
      <c r="BA1201" s="39"/>
      <c r="BK1201" s="39"/>
    </row>
    <row r="1202" spans="2:63" x14ac:dyDescent="0.2">
      <c r="B1202" s="38"/>
      <c r="AY1202" s="39"/>
      <c r="AZ1202" s="39"/>
      <c r="BA1202" s="39"/>
      <c r="BK1202" s="39"/>
    </row>
    <row r="1203" spans="2:63" x14ac:dyDescent="0.2">
      <c r="B1203" s="38"/>
      <c r="AY1203" s="39"/>
      <c r="AZ1203" s="39"/>
      <c r="BA1203" s="39"/>
      <c r="BK1203" s="39"/>
    </row>
    <row r="1204" spans="2:63" x14ac:dyDescent="0.2">
      <c r="B1204" s="38"/>
      <c r="AY1204" s="39"/>
      <c r="AZ1204" s="39"/>
      <c r="BA1204" s="39"/>
      <c r="BK1204" s="39"/>
    </row>
    <row r="1205" spans="2:63" x14ac:dyDescent="0.2">
      <c r="B1205" s="38"/>
      <c r="AY1205" s="39"/>
      <c r="AZ1205" s="39"/>
      <c r="BA1205" s="39"/>
      <c r="BK1205" s="39"/>
    </row>
    <row r="1206" spans="2:63" x14ac:dyDescent="0.2">
      <c r="B1206" s="38"/>
      <c r="AY1206" s="39"/>
      <c r="AZ1206" s="39"/>
      <c r="BA1206" s="39"/>
      <c r="BK1206" s="39"/>
    </row>
    <row r="1207" spans="2:63" x14ac:dyDescent="0.2">
      <c r="B1207" s="38"/>
      <c r="AY1207" s="39"/>
      <c r="AZ1207" s="39"/>
      <c r="BA1207" s="39"/>
      <c r="BK1207" s="39"/>
    </row>
    <row r="1208" spans="2:63" x14ac:dyDescent="0.2">
      <c r="B1208" s="38"/>
      <c r="AY1208" s="39"/>
      <c r="AZ1208" s="39"/>
      <c r="BA1208" s="39"/>
      <c r="BK1208" s="39"/>
    </row>
    <row r="1209" spans="2:63" x14ac:dyDescent="0.2">
      <c r="B1209" s="38"/>
      <c r="AY1209" s="39"/>
      <c r="AZ1209" s="39"/>
      <c r="BA1209" s="39"/>
      <c r="BK1209" s="39"/>
    </row>
    <row r="1210" spans="2:63" x14ac:dyDescent="0.2">
      <c r="B1210" s="38"/>
      <c r="AY1210" s="39"/>
      <c r="AZ1210" s="39"/>
      <c r="BA1210" s="39"/>
      <c r="BK1210" s="39"/>
    </row>
    <row r="1211" spans="2:63" x14ac:dyDescent="0.2">
      <c r="B1211" s="38"/>
      <c r="AY1211" s="39"/>
      <c r="AZ1211" s="39"/>
      <c r="BA1211" s="39"/>
      <c r="BK1211" s="39"/>
    </row>
    <row r="1212" spans="2:63" x14ac:dyDescent="0.2">
      <c r="B1212" s="38"/>
      <c r="AY1212" s="39"/>
      <c r="AZ1212" s="39"/>
      <c r="BA1212" s="39"/>
      <c r="BK1212" s="39"/>
    </row>
    <row r="1213" spans="2:63" x14ac:dyDescent="0.2">
      <c r="B1213" s="38"/>
      <c r="AY1213" s="39"/>
      <c r="AZ1213" s="39"/>
      <c r="BA1213" s="39"/>
      <c r="BK1213" s="39"/>
    </row>
    <row r="1214" spans="2:63" x14ac:dyDescent="0.2">
      <c r="B1214" s="38"/>
      <c r="AY1214" s="39"/>
      <c r="AZ1214" s="39"/>
      <c r="BA1214" s="39"/>
      <c r="BK1214" s="39"/>
    </row>
    <row r="1215" spans="2:63" x14ac:dyDescent="0.2">
      <c r="B1215" s="38"/>
      <c r="AY1215" s="39"/>
      <c r="AZ1215" s="39"/>
      <c r="BA1215" s="39"/>
      <c r="BK1215" s="39"/>
    </row>
    <row r="1216" spans="2:63" x14ac:dyDescent="0.2">
      <c r="B1216" s="38"/>
      <c r="AY1216" s="39"/>
      <c r="AZ1216" s="39"/>
      <c r="BA1216" s="39"/>
      <c r="BK1216" s="39"/>
    </row>
    <row r="1217" spans="2:63" x14ac:dyDescent="0.2">
      <c r="B1217" s="38"/>
      <c r="AY1217" s="39"/>
      <c r="AZ1217" s="39"/>
      <c r="BA1217" s="39"/>
      <c r="BK1217" s="39"/>
    </row>
    <row r="1218" spans="2:63" x14ac:dyDescent="0.2">
      <c r="B1218" s="38"/>
      <c r="AY1218" s="39"/>
      <c r="AZ1218" s="39"/>
      <c r="BA1218" s="39"/>
      <c r="BK1218" s="39"/>
    </row>
    <row r="1219" spans="2:63" x14ac:dyDescent="0.2">
      <c r="B1219" s="38"/>
      <c r="AY1219" s="39"/>
      <c r="AZ1219" s="39"/>
      <c r="BA1219" s="39"/>
      <c r="BK1219" s="39"/>
    </row>
    <row r="1220" spans="2:63" x14ac:dyDescent="0.2">
      <c r="B1220" s="38"/>
      <c r="AY1220" s="39"/>
      <c r="AZ1220" s="39"/>
      <c r="BA1220" s="39"/>
      <c r="BK1220" s="39"/>
    </row>
    <row r="1221" spans="2:63" x14ac:dyDescent="0.2">
      <c r="B1221" s="38"/>
      <c r="AY1221" s="39"/>
      <c r="AZ1221" s="39"/>
      <c r="BA1221" s="39"/>
      <c r="BK1221" s="39"/>
    </row>
    <row r="1222" spans="2:63" x14ac:dyDescent="0.2">
      <c r="B1222" s="38"/>
      <c r="AY1222" s="39"/>
      <c r="AZ1222" s="39"/>
      <c r="BA1222" s="39"/>
      <c r="BK1222" s="39"/>
    </row>
    <row r="1223" spans="2:63" x14ac:dyDescent="0.2">
      <c r="B1223" s="38"/>
      <c r="AY1223" s="39"/>
      <c r="AZ1223" s="39"/>
      <c r="BA1223" s="39"/>
      <c r="BK1223" s="39"/>
    </row>
    <row r="1224" spans="2:63" x14ac:dyDescent="0.2">
      <c r="B1224" s="38"/>
      <c r="AY1224" s="39"/>
      <c r="AZ1224" s="39"/>
      <c r="BA1224" s="39"/>
      <c r="BK1224" s="39"/>
    </row>
    <row r="1225" spans="2:63" x14ac:dyDescent="0.2">
      <c r="B1225" s="38"/>
      <c r="AY1225" s="39"/>
      <c r="AZ1225" s="39"/>
      <c r="BA1225" s="39"/>
      <c r="BK1225" s="39"/>
    </row>
    <row r="1226" spans="2:63" x14ac:dyDescent="0.2">
      <c r="B1226" s="38"/>
      <c r="AY1226" s="39"/>
      <c r="AZ1226" s="39"/>
      <c r="BA1226" s="39"/>
      <c r="BK1226" s="39"/>
    </row>
    <row r="1227" spans="2:63" x14ac:dyDescent="0.2">
      <c r="B1227" s="38"/>
      <c r="AY1227" s="39"/>
      <c r="AZ1227" s="39"/>
      <c r="BA1227" s="39"/>
      <c r="BK1227" s="39"/>
    </row>
    <row r="1228" spans="2:63" x14ac:dyDescent="0.2">
      <c r="B1228" s="38"/>
      <c r="AY1228" s="39"/>
      <c r="AZ1228" s="39"/>
      <c r="BA1228" s="39"/>
      <c r="BK1228" s="39"/>
    </row>
    <row r="1229" spans="2:63" x14ac:dyDescent="0.2">
      <c r="B1229" s="38"/>
      <c r="AY1229" s="39"/>
      <c r="AZ1229" s="39"/>
      <c r="BA1229" s="39"/>
      <c r="BK1229" s="39"/>
    </row>
    <row r="1230" spans="2:63" x14ac:dyDescent="0.2">
      <c r="B1230" s="38"/>
      <c r="AY1230" s="39"/>
      <c r="AZ1230" s="39"/>
      <c r="BA1230" s="39"/>
      <c r="BK1230" s="39"/>
    </row>
    <row r="1231" spans="2:63" x14ac:dyDescent="0.2">
      <c r="B1231" s="38"/>
      <c r="AY1231" s="39"/>
      <c r="AZ1231" s="39"/>
      <c r="BA1231" s="39"/>
      <c r="BK1231" s="39"/>
    </row>
    <row r="1232" spans="2:63" x14ac:dyDescent="0.2">
      <c r="B1232" s="38"/>
      <c r="AY1232" s="39"/>
      <c r="AZ1232" s="39"/>
      <c r="BA1232" s="39"/>
      <c r="BK1232" s="39"/>
    </row>
    <row r="1233" spans="2:63" x14ac:dyDescent="0.2">
      <c r="B1233" s="38"/>
      <c r="AY1233" s="39"/>
      <c r="AZ1233" s="39"/>
      <c r="BA1233" s="39"/>
      <c r="BK1233" s="39"/>
    </row>
    <row r="1234" spans="2:63" x14ac:dyDescent="0.2">
      <c r="B1234" s="38"/>
      <c r="AY1234" s="39"/>
      <c r="AZ1234" s="39"/>
      <c r="BA1234" s="39"/>
      <c r="BK1234" s="39"/>
    </row>
    <row r="1235" spans="2:63" x14ac:dyDescent="0.2">
      <c r="B1235" s="38"/>
      <c r="AY1235" s="39"/>
      <c r="AZ1235" s="39"/>
      <c r="BA1235" s="39"/>
      <c r="BK1235" s="39"/>
    </row>
    <row r="1236" spans="2:63" x14ac:dyDescent="0.2">
      <c r="B1236" s="38"/>
      <c r="AY1236" s="39"/>
      <c r="AZ1236" s="39"/>
      <c r="BA1236" s="39"/>
      <c r="BK1236" s="39"/>
    </row>
    <row r="1237" spans="2:63" x14ac:dyDescent="0.2">
      <c r="B1237" s="38"/>
      <c r="AY1237" s="39"/>
      <c r="AZ1237" s="39"/>
      <c r="BA1237" s="39"/>
      <c r="BK1237" s="39"/>
    </row>
    <row r="1238" spans="2:63" x14ac:dyDescent="0.2">
      <c r="B1238" s="38"/>
      <c r="AY1238" s="39"/>
      <c r="AZ1238" s="39"/>
      <c r="BA1238" s="39"/>
      <c r="BK1238" s="39"/>
    </row>
    <row r="1239" spans="2:63" x14ac:dyDescent="0.2">
      <c r="B1239" s="38"/>
      <c r="AY1239" s="39"/>
      <c r="AZ1239" s="39"/>
      <c r="BA1239" s="39"/>
      <c r="BK1239" s="39"/>
    </row>
    <row r="1240" spans="2:63" x14ac:dyDescent="0.2">
      <c r="B1240" s="38"/>
      <c r="AY1240" s="39"/>
      <c r="AZ1240" s="39"/>
      <c r="BA1240" s="39"/>
      <c r="BK1240" s="39"/>
    </row>
    <row r="1241" spans="2:63" x14ac:dyDescent="0.2">
      <c r="B1241" s="38"/>
      <c r="AY1241" s="39"/>
      <c r="AZ1241" s="39"/>
      <c r="BA1241" s="39"/>
      <c r="BK1241" s="39"/>
    </row>
    <row r="1242" spans="2:63" x14ac:dyDescent="0.2">
      <c r="B1242" s="38"/>
      <c r="AY1242" s="39"/>
      <c r="AZ1242" s="39"/>
      <c r="BA1242" s="39"/>
      <c r="BK1242" s="39"/>
    </row>
    <row r="1243" spans="2:63" x14ac:dyDescent="0.2">
      <c r="B1243" s="38"/>
      <c r="AY1243" s="39"/>
      <c r="AZ1243" s="39"/>
      <c r="BA1243" s="39"/>
      <c r="BK1243" s="39"/>
    </row>
    <row r="1244" spans="2:63" x14ac:dyDescent="0.2">
      <c r="B1244" s="38"/>
      <c r="AY1244" s="39"/>
      <c r="AZ1244" s="39"/>
      <c r="BA1244" s="39"/>
      <c r="BK1244" s="39"/>
    </row>
    <row r="1245" spans="2:63" x14ac:dyDescent="0.2">
      <c r="B1245" s="38"/>
      <c r="AY1245" s="39"/>
      <c r="AZ1245" s="39"/>
      <c r="BA1245" s="39"/>
      <c r="BK1245" s="39"/>
    </row>
    <row r="1246" spans="2:63" x14ac:dyDescent="0.2">
      <c r="B1246" s="38"/>
      <c r="AY1246" s="39"/>
      <c r="AZ1246" s="39"/>
      <c r="BA1246" s="39"/>
      <c r="BK1246" s="39"/>
    </row>
    <row r="1247" spans="2:63" x14ac:dyDescent="0.2">
      <c r="B1247" s="38"/>
      <c r="AY1247" s="39"/>
      <c r="AZ1247" s="39"/>
      <c r="BA1247" s="39"/>
      <c r="BK1247" s="39"/>
    </row>
    <row r="1248" spans="2:63" x14ac:dyDescent="0.2">
      <c r="B1248" s="38"/>
      <c r="AY1248" s="39"/>
      <c r="AZ1248" s="39"/>
      <c r="BA1248" s="39"/>
      <c r="BK1248" s="39"/>
    </row>
    <row r="1249" spans="2:63" x14ac:dyDescent="0.2">
      <c r="B1249" s="38"/>
      <c r="AY1249" s="39"/>
      <c r="AZ1249" s="39"/>
      <c r="BA1249" s="39"/>
      <c r="BK1249" s="39"/>
    </row>
    <row r="1250" spans="2:63" x14ac:dyDescent="0.2">
      <c r="B1250" s="38"/>
      <c r="AY1250" s="39"/>
      <c r="AZ1250" s="39"/>
      <c r="BA1250" s="39"/>
      <c r="BK1250" s="39"/>
    </row>
    <row r="1251" spans="2:63" x14ac:dyDescent="0.2">
      <c r="B1251" s="38"/>
      <c r="AY1251" s="39"/>
      <c r="AZ1251" s="39"/>
      <c r="BA1251" s="39"/>
      <c r="BK1251" s="39"/>
    </row>
    <row r="1252" spans="2:63" x14ac:dyDescent="0.2">
      <c r="B1252" s="38"/>
      <c r="AY1252" s="39"/>
      <c r="AZ1252" s="39"/>
      <c r="BA1252" s="39"/>
      <c r="BK1252" s="39"/>
    </row>
    <row r="1253" spans="2:63" x14ac:dyDescent="0.2">
      <c r="B1253" s="38"/>
      <c r="AY1253" s="39"/>
      <c r="AZ1253" s="39"/>
      <c r="BA1253" s="39"/>
      <c r="BK1253" s="39"/>
    </row>
    <row r="1254" spans="2:63" x14ac:dyDescent="0.2">
      <c r="B1254" s="38"/>
      <c r="AY1254" s="39"/>
      <c r="AZ1254" s="39"/>
      <c r="BA1254" s="39"/>
      <c r="BK1254" s="39"/>
    </row>
    <row r="1255" spans="2:63" x14ac:dyDescent="0.2">
      <c r="B1255" s="38"/>
      <c r="AY1255" s="39"/>
      <c r="AZ1255" s="39"/>
      <c r="BA1255" s="39"/>
      <c r="BK1255" s="39"/>
    </row>
    <row r="1256" spans="2:63" x14ac:dyDescent="0.2">
      <c r="B1256" s="38"/>
      <c r="AY1256" s="39"/>
      <c r="AZ1256" s="39"/>
      <c r="BA1256" s="39"/>
      <c r="BK1256" s="39"/>
    </row>
    <row r="1257" spans="2:63" x14ac:dyDescent="0.2">
      <c r="B1257" s="38"/>
      <c r="AY1257" s="39"/>
      <c r="AZ1257" s="39"/>
      <c r="BA1257" s="39"/>
      <c r="BK1257" s="39"/>
    </row>
    <row r="1258" spans="2:63" x14ac:dyDescent="0.2">
      <c r="B1258" s="38"/>
      <c r="AY1258" s="39"/>
      <c r="AZ1258" s="39"/>
      <c r="BA1258" s="39"/>
      <c r="BK1258" s="39"/>
    </row>
    <row r="1259" spans="2:63" x14ac:dyDescent="0.2">
      <c r="B1259" s="38"/>
      <c r="AY1259" s="39"/>
      <c r="AZ1259" s="39"/>
      <c r="BA1259" s="39"/>
      <c r="BK1259" s="39"/>
    </row>
    <row r="1260" spans="2:63" x14ac:dyDescent="0.2">
      <c r="B1260" s="38"/>
      <c r="AY1260" s="39"/>
      <c r="AZ1260" s="39"/>
      <c r="BA1260" s="39"/>
      <c r="BK1260" s="39"/>
    </row>
    <row r="1261" spans="2:63" x14ac:dyDescent="0.2">
      <c r="B1261" s="38"/>
      <c r="AY1261" s="39"/>
      <c r="AZ1261" s="39"/>
      <c r="BA1261" s="39"/>
      <c r="BK1261" s="39"/>
    </row>
    <row r="1262" spans="2:63" x14ac:dyDescent="0.2">
      <c r="B1262" s="38"/>
      <c r="AY1262" s="39"/>
      <c r="AZ1262" s="39"/>
      <c r="BA1262" s="39"/>
      <c r="BK1262" s="39"/>
    </row>
    <row r="1263" spans="2:63" x14ac:dyDescent="0.2">
      <c r="B1263" s="38"/>
      <c r="AY1263" s="39"/>
      <c r="AZ1263" s="39"/>
      <c r="BA1263" s="39"/>
      <c r="BK1263" s="39"/>
    </row>
    <row r="1264" spans="2:63" x14ac:dyDescent="0.2">
      <c r="B1264" s="38"/>
      <c r="AY1264" s="39"/>
      <c r="AZ1264" s="39"/>
      <c r="BA1264" s="39"/>
      <c r="BK1264" s="39"/>
    </row>
    <row r="1265" spans="2:63" x14ac:dyDescent="0.2">
      <c r="B1265" s="38"/>
      <c r="AY1265" s="39"/>
      <c r="AZ1265" s="39"/>
      <c r="BA1265" s="39"/>
      <c r="BK1265" s="39"/>
    </row>
    <row r="1266" spans="2:63" x14ac:dyDescent="0.2">
      <c r="B1266" s="38"/>
      <c r="AY1266" s="39"/>
      <c r="AZ1266" s="39"/>
      <c r="BA1266" s="39"/>
      <c r="BK1266" s="39"/>
    </row>
    <row r="1267" spans="2:63" x14ac:dyDescent="0.2">
      <c r="B1267" s="38"/>
      <c r="AY1267" s="39"/>
      <c r="AZ1267" s="39"/>
      <c r="BA1267" s="39"/>
      <c r="BK1267" s="39"/>
    </row>
    <row r="1268" spans="2:63" x14ac:dyDescent="0.2">
      <c r="B1268" s="38"/>
      <c r="AY1268" s="39"/>
      <c r="AZ1268" s="39"/>
      <c r="BA1268" s="39"/>
      <c r="BK1268" s="39"/>
    </row>
    <row r="1269" spans="2:63" x14ac:dyDescent="0.2">
      <c r="B1269" s="38"/>
      <c r="AY1269" s="39"/>
      <c r="AZ1269" s="39"/>
      <c r="BA1269" s="39"/>
      <c r="BK1269" s="39"/>
    </row>
    <row r="1270" spans="2:63" x14ac:dyDescent="0.2">
      <c r="B1270" s="38"/>
      <c r="AY1270" s="39"/>
      <c r="AZ1270" s="39"/>
      <c r="BA1270" s="39"/>
      <c r="BK1270" s="39"/>
    </row>
    <row r="1271" spans="2:63" x14ac:dyDescent="0.2">
      <c r="B1271" s="38"/>
      <c r="AY1271" s="39"/>
      <c r="AZ1271" s="39"/>
      <c r="BA1271" s="39"/>
      <c r="BK1271" s="39"/>
    </row>
    <row r="1272" spans="2:63" x14ac:dyDescent="0.2">
      <c r="B1272" s="38"/>
      <c r="AY1272" s="39"/>
      <c r="AZ1272" s="39"/>
      <c r="BA1272" s="39"/>
      <c r="BK1272" s="39"/>
    </row>
    <row r="1273" spans="2:63" x14ac:dyDescent="0.2">
      <c r="B1273" s="38"/>
      <c r="AY1273" s="39"/>
      <c r="AZ1273" s="39"/>
      <c r="BA1273" s="39"/>
      <c r="BK1273" s="39"/>
    </row>
    <row r="1274" spans="2:63" x14ac:dyDescent="0.2">
      <c r="B1274" s="38"/>
      <c r="AY1274" s="39"/>
      <c r="AZ1274" s="39"/>
      <c r="BA1274" s="39"/>
      <c r="BK1274" s="39"/>
    </row>
    <row r="1275" spans="2:63" x14ac:dyDescent="0.2">
      <c r="B1275" s="38"/>
      <c r="AY1275" s="39"/>
      <c r="AZ1275" s="39"/>
      <c r="BA1275" s="39"/>
      <c r="BK1275" s="39"/>
    </row>
    <row r="1276" spans="2:63" x14ac:dyDescent="0.2">
      <c r="B1276" s="38"/>
      <c r="AY1276" s="39"/>
      <c r="AZ1276" s="39"/>
      <c r="BA1276" s="39"/>
      <c r="BK1276" s="39"/>
    </row>
    <row r="1277" spans="2:63" x14ac:dyDescent="0.2">
      <c r="B1277" s="38"/>
      <c r="AY1277" s="39"/>
      <c r="AZ1277" s="39"/>
      <c r="BA1277" s="39"/>
      <c r="BK1277" s="39"/>
    </row>
    <row r="1278" spans="2:63" x14ac:dyDescent="0.2">
      <c r="B1278" s="38"/>
      <c r="AY1278" s="39"/>
      <c r="AZ1278" s="39"/>
      <c r="BA1278" s="39"/>
      <c r="BK1278" s="39"/>
    </row>
    <row r="1279" spans="2:63" x14ac:dyDescent="0.2">
      <c r="B1279" s="38"/>
      <c r="AY1279" s="39"/>
      <c r="AZ1279" s="39"/>
      <c r="BA1279" s="39"/>
      <c r="BK1279" s="39"/>
    </row>
    <row r="1280" spans="2:63" x14ac:dyDescent="0.2">
      <c r="B1280" s="38"/>
      <c r="AY1280" s="39"/>
      <c r="AZ1280" s="39"/>
      <c r="BA1280" s="39"/>
      <c r="BK1280" s="39"/>
    </row>
    <row r="1281" spans="2:63" x14ac:dyDescent="0.2">
      <c r="B1281" s="38"/>
      <c r="AY1281" s="39"/>
      <c r="AZ1281" s="39"/>
      <c r="BA1281" s="39"/>
      <c r="BK1281" s="39"/>
    </row>
    <row r="1282" spans="2:63" x14ac:dyDescent="0.2">
      <c r="B1282" s="38"/>
      <c r="AY1282" s="39"/>
      <c r="AZ1282" s="39"/>
      <c r="BA1282" s="39"/>
      <c r="BK1282" s="39"/>
    </row>
    <row r="1283" spans="2:63" x14ac:dyDescent="0.2">
      <c r="B1283" s="38"/>
      <c r="AY1283" s="39"/>
      <c r="AZ1283" s="39"/>
      <c r="BA1283" s="39"/>
      <c r="BK1283" s="39"/>
    </row>
    <row r="1284" spans="2:63" x14ac:dyDescent="0.2">
      <c r="B1284" s="38"/>
      <c r="AY1284" s="39"/>
      <c r="AZ1284" s="39"/>
      <c r="BA1284" s="39"/>
      <c r="BK1284" s="39"/>
    </row>
    <row r="1285" spans="2:63" x14ac:dyDescent="0.2">
      <c r="B1285" s="38"/>
      <c r="AY1285" s="39"/>
      <c r="AZ1285" s="39"/>
      <c r="BA1285" s="39"/>
      <c r="BK1285" s="39"/>
    </row>
    <row r="1286" spans="2:63" x14ac:dyDescent="0.2">
      <c r="B1286" s="38"/>
      <c r="AY1286" s="39"/>
      <c r="AZ1286" s="39"/>
      <c r="BA1286" s="39"/>
      <c r="BK1286" s="39"/>
    </row>
    <row r="1287" spans="2:63" x14ac:dyDescent="0.2">
      <c r="B1287" s="38"/>
      <c r="AY1287" s="39"/>
      <c r="AZ1287" s="39"/>
      <c r="BA1287" s="39"/>
      <c r="BK1287" s="39"/>
    </row>
    <row r="1288" spans="2:63" x14ac:dyDescent="0.2">
      <c r="B1288" s="38"/>
      <c r="AY1288" s="39"/>
      <c r="AZ1288" s="39"/>
      <c r="BA1288" s="39"/>
      <c r="BK1288" s="39"/>
    </row>
    <row r="1289" spans="2:63" x14ac:dyDescent="0.2">
      <c r="B1289" s="38"/>
      <c r="AY1289" s="39"/>
      <c r="AZ1289" s="39"/>
      <c r="BA1289" s="39"/>
      <c r="BK1289" s="39"/>
    </row>
    <row r="1290" spans="2:63" x14ac:dyDescent="0.2">
      <c r="B1290" s="38"/>
      <c r="AY1290" s="39"/>
      <c r="AZ1290" s="39"/>
      <c r="BA1290" s="39"/>
      <c r="BK1290" s="39"/>
    </row>
    <row r="1291" spans="2:63" x14ac:dyDescent="0.2">
      <c r="B1291" s="38"/>
      <c r="AY1291" s="39"/>
      <c r="AZ1291" s="39"/>
      <c r="BA1291" s="39"/>
      <c r="BK1291" s="39"/>
    </row>
    <row r="1292" spans="2:63" x14ac:dyDescent="0.2">
      <c r="B1292" s="38"/>
      <c r="AY1292" s="39"/>
      <c r="AZ1292" s="39"/>
      <c r="BA1292" s="39"/>
      <c r="BK1292" s="39"/>
    </row>
    <row r="1293" spans="2:63" x14ac:dyDescent="0.2">
      <c r="B1293" s="38"/>
      <c r="AY1293" s="39"/>
      <c r="AZ1293" s="39"/>
      <c r="BA1293" s="39"/>
      <c r="BK1293" s="39"/>
    </row>
    <row r="1294" spans="2:63" x14ac:dyDescent="0.2">
      <c r="B1294" s="38"/>
      <c r="AY1294" s="39"/>
      <c r="AZ1294" s="39"/>
      <c r="BA1294" s="39"/>
      <c r="BK1294" s="39"/>
    </row>
    <row r="1295" spans="2:63" x14ac:dyDescent="0.2">
      <c r="B1295" s="38"/>
      <c r="AY1295" s="39"/>
      <c r="AZ1295" s="39"/>
      <c r="BA1295" s="39"/>
      <c r="BK1295" s="39"/>
    </row>
    <row r="1296" spans="2:63" x14ac:dyDescent="0.2">
      <c r="B1296" s="38"/>
      <c r="AY1296" s="39"/>
      <c r="AZ1296" s="39"/>
      <c r="BA1296" s="39"/>
      <c r="BK1296" s="39"/>
    </row>
    <row r="1297" spans="2:63" x14ac:dyDescent="0.2">
      <c r="B1297" s="38"/>
      <c r="AY1297" s="39"/>
      <c r="AZ1297" s="39"/>
      <c r="BA1297" s="39"/>
      <c r="BK1297" s="39"/>
    </row>
    <row r="1298" spans="2:63" x14ac:dyDescent="0.2">
      <c r="B1298" s="38"/>
      <c r="AY1298" s="39"/>
      <c r="AZ1298" s="39"/>
      <c r="BA1298" s="39"/>
      <c r="BK1298" s="39"/>
    </row>
    <row r="1299" spans="2:63" x14ac:dyDescent="0.2">
      <c r="B1299" s="38"/>
      <c r="AY1299" s="39"/>
      <c r="AZ1299" s="39"/>
      <c r="BA1299" s="39"/>
      <c r="BK1299" s="39"/>
    </row>
    <row r="1300" spans="2:63" x14ac:dyDescent="0.2">
      <c r="B1300" s="38"/>
      <c r="AY1300" s="39"/>
      <c r="AZ1300" s="39"/>
      <c r="BA1300" s="39"/>
      <c r="BK1300" s="39"/>
    </row>
    <row r="1301" spans="2:63" x14ac:dyDescent="0.2">
      <c r="B1301" s="38"/>
      <c r="AY1301" s="39"/>
      <c r="AZ1301" s="39"/>
      <c r="BA1301" s="39"/>
      <c r="BK1301" s="39"/>
    </row>
    <row r="1302" spans="2:63" x14ac:dyDescent="0.2">
      <c r="B1302" s="38"/>
      <c r="AY1302" s="39"/>
      <c r="AZ1302" s="39"/>
      <c r="BA1302" s="39"/>
      <c r="BK1302" s="39"/>
    </row>
    <row r="1303" spans="2:63" x14ac:dyDescent="0.2">
      <c r="B1303" s="38"/>
      <c r="AY1303" s="39"/>
      <c r="AZ1303" s="39"/>
      <c r="BA1303" s="39"/>
      <c r="BK1303" s="39"/>
    </row>
    <row r="1304" spans="2:63" x14ac:dyDescent="0.2">
      <c r="B1304" s="38"/>
      <c r="AY1304" s="39"/>
      <c r="AZ1304" s="39"/>
      <c r="BA1304" s="39"/>
      <c r="BK1304" s="39"/>
    </row>
    <row r="1305" spans="2:63" x14ac:dyDescent="0.2">
      <c r="B1305" s="38"/>
      <c r="AY1305" s="39"/>
      <c r="AZ1305" s="39"/>
      <c r="BA1305" s="39"/>
      <c r="BK1305" s="39"/>
    </row>
    <row r="1306" spans="2:63" x14ac:dyDescent="0.2">
      <c r="B1306" s="38"/>
      <c r="AY1306" s="39"/>
      <c r="AZ1306" s="39"/>
      <c r="BA1306" s="39"/>
      <c r="BK1306" s="39"/>
    </row>
    <row r="1307" spans="2:63" x14ac:dyDescent="0.2">
      <c r="B1307" s="38"/>
      <c r="AY1307" s="39"/>
      <c r="AZ1307" s="39"/>
      <c r="BA1307" s="39"/>
      <c r="BK1307" s="39"/>
    </row>
    <row r="1308" spans="2:63" x14ac:dyDescent="0.2">
      <c r="B1308" s="38"/>
      <c r="AY1308" s="39"/>
      <c r="AZ1308" s="39"/>
      <c r="BA1308" s="39"/>
      <c r="BK1308" s="39"/>
    </row>
    <row r="1309" spans="2:63" x14ac:dyDescent="0.2">
      <c r="B1309" s="38"/>
      <c r="AY1309" s="39"/>
      <c r="AZ1309" s="39"/>
      <c r="BA1309" s="39"/>
      <c r="BK1309" s="39"/>
    </row>
    <row r="1310" spans="2:63" x14ac:dyDescent="0.2">
      <c r="B1310" s="38"/>
      <c r="AY1310" s="39"/>
      <c r="AZ1310" s="39"/>
      <c r="BA1310" s="39"/>
      <c r="BK1310" s="39"/>
    </row>
    <row r="1311" spans="2:63" x14ac:dyDescent="0.2">
      <c r="B1311" s="38"/>
      <c r="AY1311" s="39"/>
      <c r="AZ1311" s="39"/>
      <c r="BA1311" s="39"/>
      <c r="BK1311" s="39"/>
    </row>
    <row r="1312" spans="2:63" x14ac:dyDescent="0.2">
      <c r="B1312" s="38"/>
      <c r="AY1312" s="39"/>
      <c r="AZ1312" s="39"/>
      <c r="BA1312" s="39"/>
      <c r="BK1312" s="39"/>
    </row>
    <row r="1313" spans="2:63" x14ac:dyDescent="0.2">
      <c r="B1313" s="38"/>
      <c r="AY1313" s="39"/>
      <c r="AZ1313" s="39"/>
      <c r="BA1313" s="39"/>
      <c r="BK1313" s="39"/>
    </row>
    <row r="1314" spans="2:63" x14ac:dyDescent="0.2">
      <c r="B1314" s="38"/>
      <c r="AY1314" s="39"/>
      <c r="AZ1314" s="39"/>
      <c r="BA1314" s="39"/>
      <c r="BK1314" s="39"/>
    </row>
    <row r="1315" spans="2:63" x14ac:dyDescent="0.2">
      <c r="B1315" s="38"/>
      <c r="AY1315" s="39"/>
      <c r="AZ1315" s="39"/>
      <c r="BA1315" s="39"/>
      <c r="BK1315" s="39"/>
    </row>
    <row r="1316" spans="2:63" x14ac:dyDescent="0.2">
      <c r="B1316" s="38"/>
      <c r="AY1316" s="39"/>
      <c r="AZ1316" s="39"/>
      <c r="BA1316" s="39"/>
      <c r="BK1316" s="39"/>
    </row>
    <row r="1317" spans="2:63" x14ac:dyDescent="0.2">
      <c r="B1317" s="38"/>
      <c r="AY1317" s="39"/>
      <c r="AZ1317" s="39"/>
      <c r="BA1317" s="39"/>
      <c r="BK1317" s="39"/>
    </row>
    <row r="1318" spans="2:63" x14ac:dyDescent="0.2">
      <c r="B1318" s="38"/>
      <c r="AY1318" s="39"/>
      <c r="AZ1318" s="39"/>
      <c r="BA1318" s="39"/>
      <c r="BK1318" s="39"/>
    </row>
    <row r="1319" spans="2:63" x14ac:dyDescent="0.2">
      <c r="B1319" s="38"/>
      <c r="AY1319" s="39"/>
      <c r="AZ1319" s="39"/>
      <c r="BA1319" s="39"/>
      <c r="BK1319" s="39"/>
    </row>
    <row r="1320" spans="2:63" x14ac:dyDescent="0.2">
      <c r="B1320" s="38"/>
      <c r="AY1320" s="39"/>
      <c r="AZ1320" s="39"/>
      <c r="BA1320" s="39"/>
      <c r="BK1320" s="39"/>
    </row>
    <row r="1321" spans="2:63" x14ac:dyDescent="0.2">
      <c r="B1321" s="38"/>
      <c r="AY1321" s="39"/>
      <c r="AZ1321" s="39"/>
      <c r="BA1321" s="39"/>
      <c r="BK1321" s="39"/>
    </row>
    <row r="1322" spans="2:63" x14ac:dyDescent="0.2">
      <c r="B1322" s="38"/>
      <c r="AY1322" s="39"/>
      <c r="AZ1322" s="39"/>
      <c r="BA1322" s="39"/>
      <c r="BK1322" s="39"/>
    </row>
    <row r="1323" spans="2:63" x14ac:dyDescent="0.2">
      <c r="B1323" s="38"/>
      <c r="AY1323" s="39"/>
      <c r="AZ1323" s="39"/>
      <c r="BA1323" s="39"/>
      <c r="BK1323" s="39"/>
    </row>
    <row r="1324" spans="2:63" x14ac:dyDescent="0.2">
      <c r="B1324" s="38"/>
      <c r="AY1324" s="39"/>
      <c r="AZ1324" s="39"/>
      <c r="BA1324" s="39"/>
      <c r="BK1324" s="39"/>
    </row>
    <row r="1325" spans="2:63" x14ac:dyDescent="0.2">
      <c r="B1325" s="38"/>
      <c r="AY1325" s="39"/>
      <c r="AZ1325" s="39"/>
      <c r="BA1325" s="39"/>
      <c r="BK1325" s="39"/>
    </row>
    <row r="1326" spans="2:63" x14ac:dyDescent="0.2">
      <c r="B1326" s="38"/>
      <c r="AY1326" s="39"/>
      <c r="AZ1326" s="39"/>
      <c r="BA1326" s="39"/>
      <c r="BK1326" s="39"/>
    </row>
    <row r="1327" spans="2:63" x14ac:dyDescent="0.2">
      <c r="B1327" s="38"/>
      <c r="AY1327" s="39"/>
      <c r="AZ1327" s="39"/>
      <c r="BA1327" s="39"/>
      <c r="BK1327" s="39"/>
    </row>
    <row r="1328" spans="2:63" x14ac:dyDescent="0.2">
      <c r="B1328" s="38"/>
      <c r="AY1328" s="39"/>
      <c r="AZ1328" s="39"/>
      <c r="BA1328" s="39"/>
      <c r="BK1328" s="39"/>
    </row>
    <row r="1329" spans="2:63" x14ac:dyDescent="0.2">
      <c r="B1329" s="38"/>
      <c r="AY1329" s="39"/>
      <c r="AZ1329" s="39"/>
      <c r="BA1329" s="39"/>
      <c r="BK1329" s="39"/>
    </row>
    <row r="1330" spans="2:63" x14ac:dyDescent="0.2">
      <c r="B1330" s="38"/>
      <c r="AY1330" s="39"/>
      <c r="AZ1330" s="39"/>
      <c r="BA1330" s="39"/>
      <c r="BK1330" s="39"/>
    </row>
    <row r="1331" spans="2:63" x14ac:dyDescent="0.2">
      <c r="B1331" s="38"/>
      <c r="AY1331" s="39"/>
      <c r="AZ1331" s="39"/>
      <c r="BA1331" s="39"/>
      <c r="BK1331" s="39"/>
    </row>
    <row r="1332" spans="2:63" x14ac:dyDescent="0.2">
      <c r="B1332" s="38"/>
      <c r="AY1332" s="39"/>
      <c r="AZ1332" s="39"/>
      <c r="BA1332" s="39"/>
      <c r="BK1332" s="39"/>
    </row>
    <row r="1333" spans="2:63" x14ac:dyDescent="0.2">
      <c r="B1333" s="38"/>
      <c r="AY1333" s="39"/>
      <c r="AZ1333" s="39"/>
      <c r="BA1333" s="39"/>
      <c r="BK1333" s="39"/>
    </row>
    <row r="1334" spans="2:63" x14ac:dyDescent="0.2">
      <c r="B1334" s="38"/>
      <c r="AY1334" s="39"/>
      <c r="AZ1334" s="39"/>
      <c r="BA1334" s="39"/>
      <c r="BK1334" s="39"/>
    </row>
    <row r="1335" spans="2:63" x14ac:dyDescent="0.2">
      <c r="B1335" s="38"/>
      <c r="AY1335" s="39"/>
      <c r="AZ1335" s="39"/>
      <c r="BA1335" s="39"/>
      <c r="BK1335" s="39"/>
    </row>
    <row r="1336" spans="2:63" x14ac:dyDescent="0.2">
      <c r="B1336" s="38"/>
      <c r="AY1336" s="39"/>
      <c r="AZ1336" s="39"/>
      <c r="BA1336" s="39"/>
      <c r="BK1336" s="39"/>
    </row>
    <row r="1337" spans="2:63" x14ac:dyDescent="0.2">
      <c r="B1337" s="38"/>
      <c r="AY1337" s="39"/>
      <c r="AZ1337" s="39"/>
      <c r="BA1337" s="39"/>
      <c r="BK1337" s="39"/>
    </row>
    <row r="1338" spans="2:63" x14ac:dyDescent="0.2">
      <c r="B1338" s="38"/>
      <c r="AY1338" s="39"/>
      <c r="AZ1338" s="39"/>
      <c r="BA1338" s="39"/>
      <c r="BK1338" s="39"/>
    </row>
    <row r="1339" spans="2:63" x14ac:dyDescent="0.2">
      <c r="B1339" s="38"/>
      <c r="AY1339" s="39"/>
      <c r="AZ1339" s="39"/>
      <c r="BA1339" s="39"/>
      <c r="BK1339" s="39"/>
    </row>
    <row r="1340" spans="2:63" x14ac:dyDescent="0.2">
      <c r="B1340" s="38"/>
      <c r="AY1340" s="39"/>
      <c r="AZ1340" s="39"/>
      <c r="BA1340" s="39"/>
      <c r="BK1340" s="39"/>
    </row>
    <row r="1341" spans="2:63" x14ac:dyDescent="0.2">
      <c r="B1341" s="38"/>
      <c r="AY1341" s="39"/>
      <c r="AZ1341" s="39"/>
      <c r="BA1341" s="39"/>
      <c r="BK1341" s="39"/>
    </row>
    <row r="1342" spans="2:63" x14ac:dyDescent="0.2">
      <c r="B1342" s="38"/>
      <c r="AY1342" s="39"/>
      <c r="AZ1342" s="39"/>
      <c r="BA1342" s="39"/>
      <c r="BK1342" s="39"/>
    </row>
    <row r="1343" spans="2:63" x14ac:dyDescent="0.2">
      <c r="B1343" s="38"/>
      <c r="AY1343" s="39"/>
      <c r="AZ1343" s="39"/>
      <c r="BA1343" s="39"/>
      <c r="BK1343" s="39"/>
    </row>
    <row r="1344" spans="2:63" x14ac:dyDescent="0.2">
      <c r="B1344" s="38"/>
      <c r="AY1344" s="39"/>
      <c r="AZ1344" s="39"/>
      <c r="BA1344" s="39"/>
      <c r="BK1344" s="39"/>
    </row>
    <row r="1345" spans="2:63" x14ac:dyDescent="0.2">
      <c r="B1345" s="38"/>
      <c r="AY1345" s="39"/>
      <c r="AZ1345" s="39"/>
      <c r="BA1345" s="39"/>
      <c r="BK1345" s="39"/>
    </row>
    <row r="1346" spans="2:63" x14ac:dyDescent="0.2">
      <c r="B1346" s="38"/>
      <c r="AY1346" s="39"/>
      <c r="AZ1346" s="39"/>
      <c r="BA1346" s="39"/>
      <c r="BK1346" s="39"/>
    </row>
    <row r="1347" spans="2:63" x14ac:dyDescent="0.2">
      <c r="B1347" s="38"/>
      <c r="AY1347" s="39"/>
      <c r="AZ1347" s="39"/>
      <c r="BA1347" s="39"/>
      <c r="BK1347" s="39"/>
    </row>
    <row r="1348" spans="2:63" x14ac:dyDescent="0.2">
      <c r="B1348" s="38"/>
      <c r="AY1348" s="39"/>
      <c r="AZ1348" s="39"/>
      <c r="BA1348" s="39"/>
      <c r="BK1348" s="39"/>
    </row>
    <row r="1349" spans="2:63" x14ac:dyDescent="0.2">
      <c r="B1349" s="38"/>
      <c r="AY1349" s="39"/>
      <c r="AZ1349" s="39"/>
      <c r="BA1349" s="39"/>
      <c r="BK1349" s="39"/>
    </row>
    <row r="1350" spans="2:63" x14ac:dyDescent="0.2">
      <c r="B1350" s="38"/>
      <c r="AY1350" s="39"/>
      <c r="AZ1350" s="39"/>
      <c r="BA1350" s="39"/>
      <c r="BK1350" s="39"/>
    </row>
    <row r="1351" spans="2:63" x14ac:dyDescent="0.2">
      <c r="B1351" s="38"/>
      <c r="AY1351" s="39"/>
      <c r="AZ1351" s="39"/>
      <c r="BA1351" s="39"/>
      <c r="BK1351" s="39"/>
    </row>
    <row r="1352" spans="2:63" x14ac:dyDescent="0.2">
      <c r="B1352" s="38"/>
      <c r="AY1352" s="39"/>
      <c r="AZ1352" s="39"/>
      <c r="BA1352" s="39"/>
      <c r="BK1352" s="39"/>
    </row>
    <row r="1353" spans="2:63" x14ac:dyDescent="0.2">
      <c r="B1353" s="38"/>
      <c r="AY1353" s="39"/>
      <c r="AZ1353" s="39"/>
      <c r="BA1353" s="39"/>
      <c r="BK1353" s="39"/>
    </row>
    <row r="1354" spans="2:63" x14ac:dyDescent="0.2">
      <c r="B1354" s="38"/>
      <c r="AY1354" s="39"/>
      <c r="AZ1354" s="39"/>
      <c r="BA1354" s="39"/>
      <c r="BK1354" s="39"/>
    </row>
    <row r="1355" spans="2:63" x14ac:dyDescent="0.2">
      <c r="B1355" s="38"/>
      <c r="AY1355" s="39"/>
      <c r="AZ1355" s="39"/>
      <c r="BA1355" s="39"/>
      <c r="BK1355" s="39"/>
    </row>
    <row r="1356" spans="2:63" x14ac:dyDescent="0.2">
      <c r="B1356" s="38"/>
      <c r="AY1356" s="39"/>
      <c r="AZ1356" s="39"/>
      <c r="BA1356" s="39"/>
      <c r="BK1356" s="39"/>
    </row>
    <row r="1357" spans="2:63" x14ac:dyDescent="0.2">
      <c r="B1357" s="38"/>
      <c r="AY1357" s="39"/>
      <c r="AZ1357" s="39"/>
      <c r="BA1357" s="39"/>
      <c r="BK1357" s="39"/>
    </row>
    <row r="1358" spans="2:63" x14ac:dyDescent="0.2">
      <c r="B1358" s="38"/>
      <c r="AY1358" s="39"/>
      <c r="AZ1358" s="39"/>
      <c r="BA1358" s="39"/>
      <c r="BK1358" s="39"/>
    </row>
    <row r="1359" spans="2:63" x14ac:dyDescent="0.2">
      <c r="B1359" s="38"/>
      <c r="AY1359" s="39"/>
      <c r="AZ1359" s="39"/>
      <c r="BA1359" s="39"/>
      <c r="BK1359" s="39"/>
    </row>
    <row r="1360" spans="2:63" x14ac:dyDescent="0.2">
      <c r="B1360" s="38"/>
      <c r="AY1360" s="39"/>
      <c r="AZ1360" s="39"/>
      <c r="BA1360" s="39"/>
      <c r="BK1360" s="39"/>
    </row>
    <row r="1361" spans="2:63" x14ac:dyDescent="0.2">
      <c r="B1361" s="38"/>
      <c r="AY1361" s="39"/>
      <c r="AZ1361" s="39"/>
      <c r="BA1361" s="39"/>
      <c r="BK1361" s="39"/>
    </row>
    <row r="1362" spans="2:63" x14ac:dyDescent="0.2">
      <c r="B1362" s="38"/>
      <c r="AY1362" s="39"/>
      <c r="AZ1362" s="39"/>
      <c r="BA1362" s="39"/>
      <c r="BK1362" s="39"/>
    </row>
    <row r="1363" spans="2:63" x14ac:dyDescent="0.2">
      <c r="B1363" s="38"/>
      <c r="AY1363" s="39"/>
      <c r="AZ1363" s="39"/>
      <c r="BA1363" s="39"/>
      <c r="BK1363" s="39"/>
    </row>
    <row r="1364" spans="2:63" x14ac:dyDescent="0.2">
      <c r="B1364" s="38"/>
      <c r="AY1364" s="39"/>
      <c r="AZ1364" s="39"/>
      <c r="BA1364" s="39"/>
      <c r="BK1364" s="39"/>
    </row>
    <row r="1365" spans="2:63" x14ac:dyDescent="0.2">
      <c r="B1365" s="38"/>
      <c r="AY1365" s="39"/>
      <c r="AZ1365" s="39"/>
      <c r="BA1365" s="39"/>
      <c r="BK1365" s="39"/>
    </row>
    <row r="1366" spans="2:63" x14ac:dyDescent="0.2">
      <c r="B1366" s="38"/>
      <c r="AY1366" s="39"/>
      <c r="AZ1366" s="39"/>
      <c r="BA1366" s="39"/>
      <c r="BK1366" s="39"/>
    </row>
    <row r="1367" spans="2:63" x14ac:dyDescent="0.2">
      <c r="B1367" s="38"/>
      <c r="AY1367" s="39"/>
      <c r="AZ1367" s="39"/>
      <c r="BA1367" s="39"/>
      <c r="BK1367" s="39"/>
    </row>
    <row r="1368" spans="2:63" x14ac:dyDescent="0.2">
      <c r="B1368" s="38"/>
      <c r="AY1368" s="39"/>
      <c r="AZ1368" s="39"/>
      <c r="BA1368" s="39"/>
      <c r="BK1368" s="39"/>
    </row>
    <row r="1369" spans="2:63" x14ac:dyDescent="0.2">
      <c r="B1369" s="38"/>
      <c r="AY1369" s="39"/>
      <c r="AZ1369" s="39"/>
      <c r="BA1369" s="39"/>
      <c r="BK1369" s="39"/>
    </row>
    <row r="1370" spans="2:63" x14ac:dyDescent="0.2">
      <c r="B1370" s="38"/>
      <c r="AY1370" s="39"/>
      <c r="AZ1370" s="39"/>
      <c r="BA1370" s="39"/>
      <c r="BK1370" s="39"/>
    </row>
    <row r="1371" spans="2:63" x14ac:dyDescent="0.2">
      <c r="B1371" s="38"/>
      <c r="AY1371" s="39"/>
      <c r="AZ1371" s="39"/>
      <c r="BA1371" s="39"/>
      <c r="BK1371" s="39"/>
    </row>
    <row r="1372" spans="2:63" x14ac:dyDescent="0.2">
      <c r="B1372" s="38"/>
      <c r="AY1372" s="39"/>
      <c r="AZ1372" s="39"/>
      <c r="BA1372" s="39"/>
      <c r="BK1372" s="39"/>
    </row>
    <row r="1373" spans="2:63" x14ac:dyDescent="0.2">
      <c r="B1373" s="38"/>
      <c r="AY1373" s="39"/>
      <c r="AZ1373" s="39"/>
      <c r="BA1373" s="39"/>
      <c r="BK1373" s="39"/>
    </row>
    <row r="1374" spans="2:63" x14ac:dyDescent="0.2">
      <c r="B1374" s="38"/>
      <c r="AY1374" s="39"/>
      <c r="AZ1374" s="39"/>
      <c r="BA1374" s="39"/>
      <c r="BK1374" s="39"/>
    </row>
    <row r="1375" spans="2:63" x14ac:dyDescent="0.2">
      <c r="B1375" s="38"/>
      <c r="AY1375" s="39"/>
      <c r="AZ1375" s="39"/>
      <c r="BA1375" s="39"/>
      <c r="BK1375" s="39"/>
    </row>
    <row r="1376" spans="2:63" x14ac:dyDescent="0.2">
      <c r="B1376" s="38"/>
      <c r="AY1376" s="39"/>
      <c r="AZ1376" s="39"/>
      <c r="BA1376" s="39"/>
      <c r="BK1376" s="39"/>
    </row>
    <row r="1377" spans="2:63" x14ac:dyDescent="0.2">
      <c r="B1377" s="38"/>
      <c r="AY1377" s="39"/>
      <c r="AZ1377" s="39"/>
      <c r="BA1377" s="39"/>
      <c r="BK1377" s="39"/>
    </row>
    <row r="1378" spans="2:63" x14ac:dyDescent="0.2">
      <c r="B1378" s="38"/>
      <c r="AY1378" s="39"/>
      <c r="AZ1378" s="39"/>
      <c r="BA1378" s="39"/>
      <c r="BK1378" s="39"/>
    </row>
    <row r="1379" spans="2:63" x14ac:dyDescent="0.2">
      <c r="B1379" s="38"/>
      <c r="AY1379" s="39"/>
      <c r="AZ1379" s="39"/>
      <c r="BA1379" s="39"/>
      <c r="BK1379" s="39"/>
    </row>
    <row r="1380" spans="2:63" x14ac:dyDescent="0.2">
      <c r="B1380" s="38"/>
      <c r="AY1380" s="39"/>
      <c r="AZ1380" s="39"/>
      <c r="BA1380" s="39"/>
      <c r="BK1380" s="39"/>
    </row>
    <row r="1381" spans="2:63" x14ac:dyDescent="0.2">
      <c r="B1381" s="38"/>
      <c r="AY1381" s="39"/>
      <c r="AZ1381" s="39"/>
      <c r="BA1381" s="39"/>
      <c r="BK1381" s="39"/>
    </row>
    <row r="1382" spans="2:63" x14ac:dyDescent="0.2">
      <c r="B1382" s="38"/>
      <c r="AY1382" s="39"/>
      <c r="AZ1382" s="39"/>
      <c r="BA1382" s="39"/>
      <c r="BK1382" s="39"/>
    </row>
    <row r="1383" spans="2:63" x14ac:dyDescent="0.2">
      <c r="B1383" s="38"/>
      <c r="AY1383" s="39"/>
      <c r="AZ1383" s="39"/>
      <c r="BA1383" s="39"/>
      <c r="BK1383" s="39"/>
    </row>
    <row r="1384" spans="2:63" x14ac:dyDescent="0.2">
      <c r="B1384" s="38"/>
      <c r="AY1384" s="39"/>
      <c r="AZ1384" s="39"/>
      <c r="BA1384" s="39"/>
      <c r="BK1384" s="39"/>
    </row>
    <row r="1385" spans="2:63" x14ac:dyDescent="0.2">
      <c r="B1385" s="38"/>
      <c r="AY1385" s="39"/>
      <c r="AZ1385" s="39"/>
      <c r="BA1385" s="39"/>
      <c r="BK1385" s="39"/>
    </row>
    <row r="1386" spans="2:63" x14ac:dyDescent="0.2">
      <c r="B1386" s="38"/>
      <c r="AY1386" s="39"/>
      <c r="AZ1386" s="39"/>
      <c r="BA1386" s="39"/>
      <c r="BK1386" s="39"/>
    </row>
    <row r="1387" spans="2:63" x14ac:dyDescent="0.2">
      <c r="B1387" s="38"/>
      <c r="AY1387" s="39"/>
      <c r="AZ1387" s="39"/>
      <c r="BA1387" s="39"/>
      <c r="BK1387" s="39"/>
    </row>
    <row r="1388" spans="2:63" x14ac:dyDescent="0.2">
      <c r="B1388" s="38"/>
      <c r="AY1388" s="39"/>
      <c r="AZ1388" s="39"/>
      <c r="BA1388" s="39"/>
      <c r="BK1388" s="39"/>
    </row>
    <row r="1389" spans="2:63" x14ac:dyDescent="0.2">
      <c r="B1389" s="38"/>
      <c r="AY1389" s="39"/>
      <c r="AZ1389" s="39"/>
      <c r="BA1389" s="39"/>
      <c r="BK1389" s="39"/>
    </row>
    <row r="1390" spans="2:63" x14ac:dyDescent="0.2">
      <c r="B1390" s="38"/>
      <c r="AY1390" s="39"/>
      <c r="AZ1390" s="39"/>
      <c r="BA1390" s="39"/>
      <c r="BK1390" s="39"/>
    </row>
    <row r="1391" spans="2:63" x14ac:dyDescent="0.2">
      <c r="B1391" s="38"/>
      <c r="AY1391" s="39"/>
      <c r="AZ1391" s="39"/>
      <c r="BA1391" s="39"/>
      <c r="BK1391" s="39"/>
    </row>
    <row r="1392" spans="2:63" x14ac:dyDescent="0.2">
      <c r="B1392" s="38"/>
      <c r="AY1392" s="39"/>
      <c r="AZ1392" s="39"/>
      <c r="BA1392" s="39"/>
      <c r="BK1392" s="39"/>
    </row>
    <row r="1393" spans="2:63" x14ac:dyDescent="0.2">
      <c r="B1393" s="38"/>
      <c r="AY1393" s="39"/>
      <c r="AZ1393" s="39"/>
      <c r="BA1393" s="39"/>
      <c r="BK1393" s="39"/>
    </row>
    <row r="1394" spans="2:63" x14ac:dyDescent="0.2">
      <c r="B1394" s="38"/>
      <c r="AY1394" s="39"/>
      <c r="AZ1394" s="39"/>
      <c r="BA1394" s="39"/>
      <c r="BK1394" s="39"/>
    </row>
    <row r="1395" spans="2:63" x14ac:dyDescent="0.2">
      <c r="B1395" s="38"/>
      <c r="AY1395" s="39"/>
      <c r="AZ1395" s="39"/>
      <c r="BA1395" s="39"/>
      <c r="BK1395" s="39"/>
    </row>
    <row r="1396" spans="2:63" x14ac:dyDescent="0.2">
      <c r="B1396" s="38"/>
      <c r="AY1396" s="39"/>
      <c r="AZ1396" s="39"/>
      <c r="BA1396" s="39"/>
      <c r="BK1396" s="39"/>
    </row>
    <row r="1397" spans="2:63" x14ac:dyDescent="0.2">
      <c r="B1397" s="38"/>
      <c r="AY1397" s="39"/>
      <c r="AZ1397" s="39"/>
      <c r="BA1397" s="39"/>
      <c r="BK1397" s="39"/>
    </row>
    <row r="1398" spans="2:63" x14ac:dyDescent="0.2">
      <c r="B1398" s="38"/>
      <c r="AY1398" s="39"/>
      <c r="AZ1398" s="39"/>
      <c r="BA1398" s="39"/>
      <c r="BK1398" s="39"/>
    </row>
    <row r="1399" spans="2:63" x14ac:dyDescent="0.2">
      <c r="B1399" s="38"/>
      <c r="AY1399" s="39"/>
      <c r="AZ1399" s="39"/>
      <c r="BA1399" s="39"/>
      <c r="BK1399" s="39"/>
    </row>
    <row r="1400" spans="2:63" x14ac:dyDescent="0.2">
      <c r="B1400" s="38"/>
      <c r="AY1400" s="39"/>
      <c r="AZ1400" s="39"/>
      <c r="BA1400" s="39"/>
      <c r="BK1400" s="39"/>
    </row>
    <row r="1401" spans="2:63" x14ac:dyDescent="0.2">
      <c r="B1401" s="38"/>
      <c r="AY1401" s="39"/>
      <c r="AZ1401" s="39"/>
      <c r="BA1401" s="39"/>
      <c r="BK1401" s="39"/>
    </row>
    <row r="1402" spans="2:63" x14ac:dyDescent="0.2">
      <c r="B1402" s="38"/>
      <c r="AY1402" s="39"/>
      <c r="AZ1402" s="39"/>
      <c r="BA1402" s="39"/>
      <c r="BK1402" s="39"/>
    </row>
    <row r="1403" spans="2:63" x14ac:dyDescent="0.2">
      <c r="B1403" s="38"/>
      <c r="AY1403" s="39"/>
      <c r="AZ1403" s="39"/>
      <c r="BA1403" s="39"/>
      <c r="BK1403" s="39"/>
    </row>
    <row r="1404" spans="2:63" x14ac:dyDescent="0.2">
      <c r="B1404" s="38"/>
      <c r="AY1404" s="39"/>
      <c r="AZ1404" s="39"/>
      <c r="BA1404" s="39"/>
      <c r="BK1404" s="39"/>
    </row>
    <row r="1405" spans="2:63" x14ac:dyDescent="0.2">
      <c r="B1405" s="38"/>
      <c r="AY1405" s="39"/>
      <c r="AZ1405" s="39"/>
      <c r="BA1405" s="39"/>
      <c r="BK1405" s="39"/>
    </row>
    <row r="1406" spans="2:63" x14ac:dyDescent="0.2">
      <c r="B1406" s="38"/>
      <c r="AY1406" s="39"/>
      <c r="AZ1406" s="39"/>
      <c r="BA1406" s="39"/>
      <c r="BK1406" s="39"/>
    </row>
    <row r="1407" spans="2:63" x14ac:dyDescent="0.2">
      <c r="B1407" s="38"/>
      <c r="AY1407" s="39"/>
      <c r="AZ1407" s="39"/>
      <c r="BA1407" s="39"/>
      <c r="BK1407" s="39"/>
    </row>
    <row r="1408" spans="2:63" x14ac:dyDescent="0.2">
      <c r="B1408" s="38"/>
      <c r="AY1408" s="39"/>
      <c r="AZ1408" s="39"/>
      <c r="BA1408" s="39"/>
      <c r="BK1408" s="39"/>
    </row>
    <row r="1409" spans="2:63" x14ac:dyDescent="0.2">
      <c r="B1409" s="38"/>
      <c r="AY1409" s="39"/>
      <c r="AZ1409" s="39"/>
      <c r="BA1409" s="39"/>
      <c r="BK1409" s="39"/>
    </row>
    <row r="1410" spans="2:63" x14ac:dyDescent="0.2">
      <c r="B1410" s="38"/>
      <c r="AY1410" s="39"/>
      <c r="AZ1410" s="39"/>
      <c r="BA1410" s="39"/>
      <c r="BK1410" s="39"/>
    </row>
    <row r="1411" spans="2:63" x14ac:dyDescent="0.2">
      <c r="B1411" s="38"/>
      <c r="AY1411" s="39"/>
      <c r="AZ1411" s="39"/>
      <c r="BA1411" s="39"/>
      <c r="BK1411" s="39"/>
    </row>
    <row r="1412" spans="2:63" x14ac:dyDescent="0.2">
      <c r="B1412" s="38"/>
      <c r="AY1412" s="39"/>
      <c r="AZ1412" s="39"/>
      <c r="BA1412" s="39"/>
      <c r="BK1412" s="39"/>
    </row>
    <row r="1413" spans="2:63" x14ac:dyDescent="0.2">
      <c r="B1413" s="38"/>
      <c r="AY1413" s="39"/>
      <c r="AZ1413" s="39"/>
      <c r="BA1413" s="39"/>
      <c r="BK1413" s="39"/>
    </row>
    <row r="1414" spans="2:63" x14ac:dyDescent="0.2">
      <c r="B1414" s="38"/>
      <c r="AY1414" s="39"/>
      <c r="AZ1414" s="39"/>
      <c r="BA1414" s="39"/>
      <c r="BK1414" s="39"/>
    </row>
    <row r="1415" spans="2:63" x14ac:dyDescent="0.2">
      <c r="B1415" s="38"/>
      <c r="AY1415" s="39"/>
      <c r="AZ1415" s="39"/>
      <c r="BA1415" s="39"/>
      <c r="BK1415" s="39"/>
    </row>
    <row r="1416" spans="2:63" x14ac:dyDescent="0.2">
      <c r="B1416" s="38"/>
      <c r="AY1416" s="39"/>
      <c r="AZ1416" s="39"/>
      <c r="BA1416" s="39"/>
      <c r="BK1416" s="39"/>
    </row>
    <row r="1417" spans="2:63" x14ac:dyDescent="0.2">
      <c r="B1417" s="38"/>
      <c r="AY1417" s="39"/>
      <c r="AZ1417" s="39"/>
      <c r="BA1417" s="39"/>
      <c r="BK1417" s="39"/>
    </row>
    <row r="1418" spans="2:63" x14ac:dyDescent="0.2">
      <c r="B1418" s="38"/>
      <c r="AY1418" s="39"/>
      <c r="AZ1418" s="39"/>
      <c r="BA1418" s="39"/>
      <c r="BK1418" s="39"/>
    </row>
    <row r="1419" spans="2:63" x14ac:dyDescent="0.2">
      <c r="B1419" s="38"/>
      <c r="AY1419" s="39"/>
      <c r="AZ1419" s="39"/>
      <c r="BA1419" s="39"/>
      <c r="BK1419" s="39"/>
    </row>
    <row r="1420" spans="2:63" x14ac:dyDescent="0.2">
      <c r="B1420" s="38"/>
      <c r="AY1420" s="39"/>
      <c r="AZ1420" s="39"/>
      <c r="BA1420" s="39"/>
      <c r="BK1420" s="39"/>
    </row>
    <row r="1421" spans="2:63" x14ac:dyDescent="0.2">
      <c r="B1421" s="38"/>
      <c r="AY1421" s="39"/>
      <c r="AZ1421" s="39"/>
      <c r="BA1421" s="39"/>
      <c r="BK1421" s="39"/>
    </row>
    <row r="1422" spans="2:63" x14ac:dyDescent="0.2">
      <c r="B1422" s="38"/>
      <c r="AY1422" s="39"/>
      <c r="AZ1422" s="39"/>
      <c r="BA1422" s="39"/>
      <c r="BK1422" s="39"/>
    </row>
    <row r="1423" spans="2:63" x14ac:dyDescent="0.2">
      <c r="B1423" s="38"/>
      <c r="AY1423" s="39"/>
      <c r="AZ1423" s="39"/>
      <c r="BA1423" s="39"/>
      <c r="BK1423" s="39"/>
    </row>
    <row r="1424" spans="2:63" x14ac:dyDescent="0.2">
      <c r="B1424" s="38"/>
      <c r="AY1424" s="39"/>
      <c r="AZ1424" s="39"/>
      <c r="BA1424" s="39"/>
      <c r="BK1424" s="39"/>
    </row>
    <row r="1425" spans="2:63" x14ac:dyDescent="0.2">
      <c r="B1425" s="38"/>
      <c r="AY1425" s="39"/>
      <c r="AZ1425" s="39"/>
      <c r="BA1425" s="39"/>
      <c r="BK1425" s="39"/>
    </row>
    <row r="1426" spans="2:63" x14ac:dyDescent="0.2">
      <c r="B1426" s="38"/>
      <c r="AY1426" s="39"/>
      <c r="AZ1426" s="39"/>
      <c r="BA1426" s="39"/>
      <c r="BK1426" s="39"/>
    </row>
    <row r="1427" spans="2:63" x14ac:dyDescent="0.2">
      <c r="B1427" s="38"/>
      <c r="AY1427" s="39"/>
      <c r="AZ1427" s="39"/>
      <c r="BA1427" s="39"/>
      <c r="BK1427" s="39"/>
    </row>
    <row r="1428" spans="2:63" x14ac:dyDescent="0.2">
      <c r="B1428" s="38"/>
      <c r="AY1428" s="39"/>
      <c r="AZ1428" s="39"/>
      <c r="BA1428" s="39"/>
      <c r="BK1428" s="39"/>
    </row>
    <row r="1429" spans="2:63" x14ac:dyDescent="0.2">
      <c r="B1429" s="38"/>
      <c r="AY1429" s="39"/>
      <c r="AZ1429" s="39"/>
      <c r="BA1429" s="39"/>
      <c r="BK1429" s="39"/>
    </row>
    <row r="1430" spans="2:63" x14ac:dyDescent="0.2">
      <c r="B1430" s="38"/>
      <c r="AY1430" s="39"/>
      <c r="AZ1430" s="39"/>
      <c r="BA1430" s="39"/>
      <c r="BK1430" s="39"/>
    </row>
    <row r="1431" spans="2:63" x14ac:dyDescent="0.2">
      <c r="B1431" s="38"/>
      <c r="AY1431" s="39"/>
      <c r="AZ1431" s="39"/>
      <c r="BA1431" s="39"/>
      <c r="BK1431" s="39"/>
    </row>
    <row r="1432" spans="2:63" x14ac:dyDescent="0.2">
      <c r="B1432" s="38"/>
      <c r="AY1432" s="39"/>
      <c r="AZ1432" s="39"/>
      <c r="BA1432" s="39"/>
      <c r="BK1432" s="39"/>
    </row>
    <row r="1433" spans="2:63" x14ac:dyDescent="0.2">
      <c r="B1433" s="38"/>
      <c r="AY1433" s="39"/>
      <c r="AZ1433" s="39"/>
      <c r="BA1433" s="39"/>
      <c r="BK1433" s="39"/>
    </row>
    <row r="1434" spans="2:63" x14ac:dyDescent="0.2">
      <c r="B1434" s="38"/>
      <c r="AY1434" s="39"/>
      <c r="AZ1434" s="39"/>
      <c r="BA1434" s="39"/>
      <c r="BK1434" s="39"/>
    </row>
    <row r="1435" spans="2:63" x14ac:dyDescent="0.2">
      <c r="B1435" s="38"/>
      <c r="AY1435" s="39"/>
      <c r="AZ1435" s="39"/>
      <c r="BA1435" s="39"/>
      <c r="BK1435" s="39"/>
    </row>
    <row r="1436" spans="2:63" x14ac:dyDescent="0.2">
      <c r="B1436" s="38"/>
      <c r="AY1436" s="39"/>
      <c r="AZ1436" s="39"/>
      <c r="BA1436" s="39"/>
      <c r="BK1436" s="39"/>
    </row>
    <row r="1437" spans="2:63" x14ac:dyDescent="0.2">
      <c r="B1437" s="38"/>
      <c r="AY1437" s="39"/>
      <c r="AZ1437" s="39"/>
      <c r="BA1437" s="39"/>
      <c r="BK1437" s="39"/>
    </row>
    <row r="1438" spans="2:63" x14ac:dyDescent="0.2">
      <c r="B1438" s="38"/>
      <c r="AY1438" s="39"/>
      <c r="AZ1438" s="39"/>
      <c r="BA1438" s="39"/>
      <c r="BK1438" s="39"/>
    </row>
    <row r="1439" spans="2:63" x14ac:dyDescent="0.2">
      <c r="B1439" s="38"/>
      <c r="AY1439" s="39"/>
      <c r="AZ1439" s="39"/>
      <c r="BA1439" s="39"/>
      <c r="BK1439" s="39"/>
    </row>
    <row r="1440" spans="2:63" x14ac:dyDescent="0.2">
      <c r="B1440" s="38"/>
      <c r="AY1440" s="39"/>
      <c r="AZ1440" s="39"/>
      <c r="BA1440" s="39"/>
      <c r="BK1440" s="39"/>
    </row>
    <row r="1441" spans="2:63" x14ac:dyDescent="0.2">
      <c r="B1441" s="38"/>
      <c r="AY1441" s="39"/>
      <c r="AZ1441" s="39"/>
      <c r="BA1441" s="39"/>
      <c r="BK1441" s="39"/>
    </row>
    <row r="1442" spans="2:63" x14ac:dyDescent="0.2">
      <c r="B1442" s="38"/>
      <c r="AY1442" s="39"/>
      <c r="AZ1442" s="39"/>
      <c r="BA1442" s="39"/>
      <c r="BK1442" s="39"/>
    </row>
    <row r="1443" spans="2:63" x14ac:dyDescent="0.2">
      <c r="B1443" s="38"/>
      <c r="AY1443" s="39"/>
      <c r="AZ1443" s="39"/>
      <c r="BA1443" s="39"/>
      <c r="BK1443" s="39"/>
    </row>
    <row r="1444" spans="2:63" x14ac:dyDescent="0.2">
      <c r="B1444" s="38"/>
      <c r="AY1444" s="39"/>
      <c r="AZ1444" s="39"/>
      <c r="BA1444" s="39"/>
      <c r="BK1444" s="39"/>
    </row>
    <row r="1445" spans="2:63" x14ac:dyDescent="0.2">
      <c r="B1445" s="38"/>
      <c r="AY1445" s="39"/>
      <c r="AZ1445" s="39"/>
      <c r="BA1445" s="39"/>
      <c r="BK1445" s="39"/>
    </row>
    <row r="1446" spans="2:63" x14ac:dyDescent="0.2">
      <c r="B1446" s="38"/>
      <c r="AY1446" s="39"/>
      <c r="AZ1446" s="39"/>
      <c r="BA1446" s="39"/>
      <c r="BK1446" s="39"/>
    </row>
    <row r="1447" spans="2:63" x14ac:dyDescent="0.2">
      <c r="B1447" s="38"/>
      <c r="AY1447" s="39"/>
      <c r="AZ1447" s="39"/>
      <c r="BA1447" s="39"/>
      <c r="BK1447" s="39"/>
    </row>
    <row r="1448" spans="2:63" x14ac:dyDescent="0.2">
      <c r="B1448" s="38"/>
      <c r="AY1448" s="39"/>
      <c r="AZ1448" s="39"/>
      <c r="BA1448" s="39"/>
      <c r="BK1448" s="39"/>
    </row>
    <row r="1449" spans="2:63" x14ac:dyDescent="0.2">
      <c r="B1449" s="38"/>
      <c r="AY1449" s="39"/>
      <c r="AZ1449" s="39"/>
      <c r="BA1449" s="39"/>
      <c r="BK1449" s="39"/>
    </row>
    <row r="1450" spans="2:63" x14ac:dyDescent="0.2">
      <c r="B1450" s="38"/>
      <c r="AY1450" s="39"/>
      <c r="AZ1450" s="39"/>
      <c r="BA1450" s="39"/>
      <c r="BK1450" s="39"/>
    </row>
    <row r="1451" spans="2:63" x14ac:dyDescent="0.2">
      <c r="B1451" s="38"/>
      <c r="AY1451" s="39"/>
      <c r="AZ1451" s="39"/>
      <c r="BA1451" s="39"/>
      <c r="BK1451" s="39"/>
    </row>
    <row r="1452" spans="2:63" x14ac:dyDescent="0.2">
      <c r="B1452" s="38"/>
      <c r="AY1452" s="39"/>
      <c r="AZ1452" s="39"/>
      <c r="BA1452" s="39"/>
      <c r="BK1452" s="39"/>
    </row>
    <row r="1453" spans="2:63" x14ac:dyDescent="0.2">
      <c r="B1453" s="38"/>
      <c r="AY1453" s="39"/>
      <c r="AZ1453" s="39"/>
      <c r="BA1453" s="39"/>
      <c r="BK1453" s="39"/>
    </row>
    <row r="1454" spans="2:63" x14ac:dyDescent="0.2">
      <c r="B1454" s="38"/>
      <c r="AY1454" s="39"/>
      <c r="AZ1454" s="39"/>
      <c r="BA1454" s="39"/>
      <c r="BK1454" s="39"/>
    </row>
    <row r="1455" spans="2:63" x14ac:dyDescent="0.2">
      <c r="B1455" s="38"/>
      <c r="AY1455" s="39"/>
      <c r="AZ1455" s="39"/>
      <c r="BA1455" s="39"/>
      <c r="BK1455" s="39"/>
    </row>
    <row r="1456" spans="2:63" x14ac:dyDescent="0.2">
      <c r="B1456" s="38"/>
      <c r="AY1456" s="39"/>
      <c r="AZ1456" s="39"/>
      <c r="BA1456" s="39"/>
      <c r="BK1456" s="39"/>
    </row>
    <row r="1457" spans="2:63" x14ac:dyDescent="0.2">
      <c r="B1457" s="38"/>
      <c r="AY1457" s="39"/>
      <c r="AZ1457" s="39"/>
      <c r="BA1457" s="39"/>
      <c r="BK1457" s="39"/>
    </row>
    <row r="1458" spans="2:63" x14ac:dyDescent="0.2">
      <c r="B1458" s="38"/>
      <c r="AY1458" s="39"/>
      <c r="AZ1458" s="39"/>
      <c r="BA1458" s="39"/>
      <c r="BK1458" s="39"/>
    </row>
    <row r="1459" spans="2:63" x14ac:dyDescent="0.2">
      <c r="B1459" s="38"/>
      <c r="AY1459" s="39"/>
      <c r="AZ1459" s="39"/>
      <c r="BA1459" s="39"/>
      <c r="BK1459" s="39"/>
    </row>
    <row r="1460" spans="2:63" x14ac:dyDescent="0.2">
      <c r="B1460" s="38"/>
      <c r="AY1460" s="39"/>
      <c r="AZ1460" s="39"/>
      <c r="BA1460" s="39"/>
      <c r="BK1460" s="39"/>
    </row>
    <row r="1461" spans="2:63" x14ac:dyDescent="0.2">
      <c r="B1461" s="38"/>
      <c r="AY1461" s="39"/>
      <c r="AZ1461" s="39"/>
      <c r="BA1461" s="39"/>
      <c r="BK1461" s="39"/>
    </row>
    <row r="1462" spans="2:63" x14ac:dyDescent="0.2">
      <c r="B1462" s="38"/>
      <c r="AY1462" s="39"/>
      <c r="AZ1462" s="39"/>
      <c r="BA1462" s="39"/>
      <c r="BK1462" s="39"/>
    </row>
    <row r="1463" spans="2:63" x14ac:dyDescent="0.2">
      <c r="B1463" s="38"/>
      <c r="AY1463" s="39"/>
      <c r="AZ1463" s="39"/>
      <c r="BA1463" s="39"/>
      <c r="BK1463" s="39"/>
    </row>
    <row r="1464" spans="2:63" x14ac:dyDescent="0.2">
      <c r="B1464" s="38"/>
      <c r="AY1464" s="39"/>
      <c r="AZ1464" s="39"/>
      <c r="BA1464" s="39"/>
      <c r="BK1464" s="39"/>
    </row>
    <row r="1465" spans="2:63" x14ac:dyDescent="0.2">
      <c r="B1465" s="38"/>
      <c r="AY1465" s="39"/>
      <c r="AZ1465" s="39"/>
      <c r="BA1465" s="39"/>
      <c r="BK1465" s="39"/>
    </row>
    <row r="1466" spans="2:63" x14ac:dyDescent="0.2">
      <c r="B1466" s="38"/>
      <c r="AY1466" s="39"/>
      <c r="AZ1466" s="39"/>
      <c r="BA1466" s="39"/>
      <c r="BK1466" s="39"/>
    </row>
    <row r="1467" spans="2:63" x14ac:dyDescent="0.2">
      <c r="B1467" s="38"/>
      <c r="AY1467" s="39"/>
      <c r="AZ1467" s="39"/>
      <c r="BA1467" s="39"/>
      <c r="BK1467" s="39"/>
    </row>
    <row r="1468" spans="2:63" x14ac:dyDescent="0.2">
      <c r="B1468" s="38"/>
      <c r="AY1468" s="39"/>
      <c r="AZ1468" s="39"/>
      <c r="BA1468" s="39"/>
      <c r="BK1468" s="39"/>
    </row>
    <row r="1469" spans="2:63" x14ac:dyDescent="0.2">
      <c r="B1469" s="38"/>
      <c r="AY1469" s="39"/>
      <c r="AZ1469" s="39"/>
      <c r="BA1469" s="39"/>
      <c r="BK1469" s="39"/>
    </row>
    <row r="1470" spans="2:63" x14ac:dyDescent="0.2">
      <c r="B1470" s="38"/>
      <c r="AY1470" s="39"/>
      <c r="AZ1470" s="39"/>
      <c r="BA1470" s="39"/>
      <c r="BK1470" s="39"/>
    </row>
    <row r="1471" spans="2:63" x14ac:dyDescent="0.2">
      <c r="B1471" s="38"/>
      <c r="AY1471" s="39"/>
      <c r="AZ1471" s="39"/>
      <c r="BA1471" s="39"/>
      <c r="BK1471" s="39"/>
    </row>
    <row r="1472" spans="2:63" x14ac:dyDescent="0.2">
      <c r="B1472" s="38"/>
      <c r="AY1472" s="39"/>
      <c r="AZ1472" s="39"/>
      <c r="BA1472" s="39"/>
      <c r="BK1472" s="39"/>
    </row>
    <row r="1473" spans="2:63" x14ac:dyDescent="0.2">
      <c r="B1473" s="38"/>
      <c r="AY1473" s="39"/>
      <c r="AZ1473" s="39"/>
      <c r="BA1473" s="39"/>
      <c r="BK1473" s="39"/>
    </row>
    <row r="1474" spans="2:63" x14ac:dyDescent="0.2">
      <c r="B1474" s="38"/>
      <c r="AY1474" s="39"/>
      <c r="AZ1474" s="39"/>
      <c r="BA1474" s="39"/>
      <c r="BK1474" s="39"/>
    </row>
    <row r="1475" spans="2:63" x14ac:dyDescent="0.2">
      <c r="B1475" s="38"/>
      <c r="AY1475" s="39"/>
      <c r="AZ1475" s="39"/>
      <c r="BA1475" s="39"/>
      <c r="BK1475" s="39"/>
    </row>
    <row r="1476" spans="2:63" x14ac:dyDescent="0.2">
      <c r="B1476" s="38"/>
      <c r="AY1476" s="39"/>
      <c r="AZ1476" s="39"/>
      <c r="BA1476" s="39"/>
      <c r="BK1476" s="39"/>
    </row>
    <row r="1477" spans="2:63" x14ac:dyDescent="0.2">
      <c r="B1477" s="38"/>
      <c r="AY1477" s="39"/>
      <c r="AZ1477" s="39"/>
      <c r="BA1477" s="39"/>
      <c r="BK1477" s="39"/>
    </row>
    <row r="1478" spans="2:63" x14ac:dyDescent="0.2">
      <c r="B1478" s="38"/>
      <c r="AY1478" s="39"/>
      <c r="AZ1478" s="39"/>
      <c r="BA1478" s="39"/>
      <c r="BK1478" s="39"/>
    </row>
    <row r="1479" spans="2:63" x14ac:dyDescent="0.2">
      <c r="B1479" s="38"/>
      <c r="AY1479" s="39"/>
      <c r="AZ1479" s="39"/>
      <c r="BA1479" s="39"/>
      <c r="BK1479" s="39"/>
    </row>
    <row r="1480" spans="2:63" x14ac:dyDescent="0.2">
      <c r="B1480" s="38"/>
      <c r="AY1480" s="39"/>
      <c r="AZ1480" s="39"/>
      <c r="BA1480" s="39"/>
      <c r="BK1480" s="39"/>
    </row>
    <row r="1481" spans="2:63" x14ac:dyDescent="0.2">
      <c r="B1481" s="38"/>
      <c r="AY1481" s="39"/>
      <c r="AZ1481" s="39"/>
      <c r="BA1481" s="39"/>
      <c r="BK1481" s="39"/>
    </row>
    <row r="1482" spans="2:63" x14ac:dyDescent="0.2">
      <c r="B1482" s="38"/>
      <c r="AY1482" s="39"/>
      <c r="AZ1482" s="39"/>
      <c r="BA1482" s="39"/>
      <c r="BK1482" s="39"/>
    </row>
    <row r="1483" spans="2:63" x14ac:dyDescent="0.2">
      <c r="B1483" s="38"/>
      <c r="AY1483" s="39"/>
      <c r="AZ1483" s="39"/>
      <c r="BA1483" s="39"/>
      <c r="BK1483" s="39"/>
    </row>
    <row r="1484" spans="2:63" x14ac:dyDescent="0.2">
      <c r="B1484" s="38"/>
      <c r="AY1484" s="39"/>
      <c r="AZ1484" s="39"/>
      <c r="BA1484" s="39"/>
      <c r="BK1484" s="39"/>
    </row>
    <row r="1485" spans="2:63" x14ac:dyDescent="0.2">
      <c r="B1485" s="38"/>
      <c r="AY1485" s="39"/>
      <c r="AZ1485" s="39"/>
      <c r="BA1485" s="39"/>
      <c r="BK1485" s="39"/>
    </row>
    <row r="1486" spans="2:63" x14ac:dyDescent="0.2">
      <c r="B1486" s="38"/>
      <c r="AY1486" s="39"/>
      <c r="AZ1486" s="39"/>
      <c r="BA1486" s="39"/>
      <c r="BK1486" s="39"/>
    </row>
    <row r="1487" spans="2:63" x14ac:dyDescent="0.2">
      <c r="B1487" s="38"/>
      <c r="AY1487" s="39"/>
      <c r="AZ1487" s="39"/>
      <c r="BA1487" s="39"/>
      <c r="BK1487" s="39"/>
    </row>
    <row r="1488" spans="2:63" x14ac:dyDescent="0.2">
      <c r="B1488" s="38"/>
      <c r="AY1488" s="39"/>
      <c r="AZ1488" s="39"/>
      <c r="BA1488" s="39"/>
      <c r="BK1488" s="39"/>
    </row>
    <row r="1489" spans="2:63" x14ac:dyDescent="0.2">
      <c r="B1489" s="38"/>
      <c r="AY1489" s="39"/>
      <c r="AZ1489" s="39"/>
      <c r="BA1489" s="39"/>
      <c r="BK1489" s="39"/>
    </row>
    <row r="1490" spans="2:63" x14ac:dyDescent="0.2">
      <c r="B1490" s="38"/>
      <c r="AY1490" s="39"/>
      <c r="AZ1490" s="39"/>
      <c r="BA1490" s="39"/>
      <c r="BK1490" s="39"/>
    </row>
    <row r="1491" spans="2:63" x14ac:dyDescent="0.2">
      <c r="B1491" s="38"/>
      <c r="AY1491" s="39"/>
      <c r="AZ1491" s="39"/>
      <c r="BA1491" s="39"/>
      <c r="BK1491" s="39"/>
    </row>
    <row r="1492" spans="2:63" x14ac:dyDescent="0.2">
      <c r="B1492" s="38"/>
      <c r="AY1492" s="39"/>
      <c r="AZ1492" s="39"/>
      <c r="BA1492" s="39"/>
      <c r="BK1492" s="39"/>
    </row>
    <row r="1493" spans="2:63" x14ac:dyDescent="0.2">
      <c r="B1493" s="38"/>
      <c r="AY1493" s="39"/>
      <c r="AZ1493" s="39"/>
      <c r="BA1493" s="39"/>
      <c r="BK1493" s="39"/>
    </row>
    <row r="1494" spans="2:63" x14ac:dyDescent="0.2">
      <c r="B1494" s="38"/>
      <c r="AY1494" s="39"/>
      <c r="AZ1494" s="39"/>
      <c r="BA1494" s="39"/>
      <c r="BK1494" s="39"/>
    </row>
    <row r="1495" spans="2:63" x14ac:dyDescent="0.2">
      <c r="B1495" s="38"/>
      <c r="AY1495" s="39"/>
      <c r="AZ1495" s="39"/>
      <c r="BA1495" s="39"/>
      <c r="BK1495" s="39"/>
    </row>
    <row r="1496" spans="2:63" x14ac:dyDescent="0.2">
      <c r="B1496" s="38"/>
      <c r="AY1496" s="39"/>
      <c r="AZ1496" s="39"/>
      <c r="BA1496" s="39"/>
      <c r="BK1496" s="39"/>
    </row>
    <row r="1497" spans="2:63" x14ac:dyDescent="0.2">
      <c r="B1497" s="38"/>
      <c r="AY1497" s="39"/>
      <c r="AZ1497" s="39"/>
      <c r="BA1497" s="39"/>
      <c r="BK1497" s="39"/>
    </row>
    <row r="1498" spans="2:63" x14ac:dyDescent="0.2">
      <c r="B1498" s="38"/>
      <c r="AY1498" s="39"/>
      <c r="AZ1498" s="39"/>
      <c r="BA1498" s="39"/>
      <c r="BK1498" s="39"/>
    </row>
    <row r="1499" spans="2:63" x14ac:dyDescent="0.2">
      <c r="B1499" s="38"/>
      <c r="AY1499" s="39"/>
      <c r="AZ1499" s="39"/>
      <c r="BA1499" s="39"/>
      <c r="BK1499" s="39"/>
    </row>
    <row r="1500" spans="2:63" x14ac:dyDescent="0.2">
      <c r="B1500" s="38"/>
      <c r="AY1500" s="39"/>
      <c r="AZ1500" s="39"/>
      <c r="BA1500" s="39"/>
      <c r="BK1500" s="39"/>
    </row>
    <row r="1501" spans="2:63" x14ac:dyDescent="0.2">
      <c r="B1501" s="38"/>
      <c r="AY1501" s="39"/>
      <c r="AZ1501" s="39"/>
      <c r="BA1501" s="39"/>
      <c r="BK1501" s="39"/>
    </row>
    <row r="1502" spans="2:63" x14ac:dyDescent="0.2">
      <c r="B1502" s="38"/>
      <c r="AY1502" s="39"/>
      <c r="AZ1502" s="39"/>
      <c r="BA1502" s="39"/>
      <c r="BK1502" s="39"/>
    </row>
    <row r="1503" spans="2:63" x14ac:dyDescent="0.2">
      <c r="B1503" s="38"/>
      <c r="AY1503" s="39"/>
      <c r="AZ1503" s="39"/>
      <c r="BA1503" s="39"/>
      <c r="BK1503" s="39"/>
    </row>
    <row r="1504" spans="2:63" x14ac:dyDescent="0.2">
      <c r="B1504" s="38"/>
      <c r="AY1504" s="39"/>
      <c r="AZ1504" s="39"/>
      <c r="BA1504" s="39"/>
      <c r="BK1504" s="39"/>
    </row>
    <row r="1505" spans="2:63" x14ac:dyDescent="0.2">
      <c r="B1505" s="38"/>
      <c r="AY1505" s="39"/>
      <c r="AZ1505" s="39"/>
      <c r="BA1505" s="39"/>
      <c r="BK1505" s="39"/>
    </row>
    <row r="1506" spans="2:63" x14ac:dyDescent="0.2">
      <c r="B1506" s="38"/>
      <c r="AY1506" s="39"/>
      <c r="AZ1506" s="39"/>
      <c r="BA1506" s="39"/>
      <c r="BK1506" s="39"/>
    </row>
    <row r="1507" spans="2:63" x14ac:dyDescent="0.2">
      <c r="B1507" s="38"/>
      <c r="AY1507" s="39"/>
      <c r="AZ1507" s="39"/>
      <c r="BA1507" s="39"/>
      <c r="BK1507" s="39"/>
    </row>
    <row r="1508" spans="2:63" x14ac:dyDescent="0.2">
      <c r="B1508" s="38"/>
      <c r="AY1508" s="39"/>
      <c r="AZ1508" s="39"/>
      <c r="BA1508" s="39"/>
      <c r="BK1508" s="39"/>
    </row>
    <row r="1509" spans="2:63" x14ac:dyDescent="0.2">
      <c r="B1509" s="38"/>
      <c r="AY1509" s="39"/>
      <c r="AZ1509" s="39"/>
      <c r="BA1509" s="39"/>
      <c r="BK1509" s="39"/>
    </row>
    <row r="1510" spans="2:63" x14ac:dyDescent="0.2">
      <c r="B1510" s="38"/>
      <c r="AY1510" s="39"/>
      <c r="AZ1510" s="39"/>
      <c r="BA1510" s="39"/>
      <c r="BK1510" s="39"/>
    </row>
    <row r="1511" spans="2:63" x14ac:dyDescent="0.2">
      <c r="B1511" s="38"/>
      <c r="AY1511" s="39"/>
      <c r="AZ1511" s="39"/>
      <c r="BA1511" s="39"/>
      <c r="BK1511" s="39"/>
    </row>
    <row r="1512" spans="2:63" x14ac:dyDescent="0.2">
      <c r="B1512" s="38"/>
      <c r="AY1512" s="39"/>
      <c r="AZ1512" s="39"/>
      <c r="BA1512" s="39"/>
      <c r="BK1512" s="39"/>
    </row>
    <row r="1513" spans="2:63" x14ac:dyDescent="0.2">
      <c r="B1513" s="38"/>
      <c r="AY1513" s="39"/>
      <c r="AZ1513" s="39"/>
      <c r="BA1513" s="39"/>
      <c r="BK1513" s="39"/>
    </row>
    <row r="1514" spans="2:63" x14ac:dyDescent="0.2">
      <c r="B1514" s="38"/>
      <c r="AY1514" s="39"/>
      <c r="AZ1514" s="39"/>
      <c r="BA1514" s="39"/>
      <c r="BK1514" s="39"/>
    </row>
    <row r="1515" spans="2:63" x14ac:dyDescent="0.2">
      <c r="B1515" s="38"/>
      <c r="AY1515" s="39"/>
      <c r="AZ1515" s="39"/>
      <c r="BA1515" s="39"/>
      <c r="BK1515" s="39"/>
    </row>
    <row r="1516" spans="2:63" x14ac:dyDescent="0.2">
      <c r="B1516" s="38"/>
      <c r="AY1516" s="39"/>
      <c r="AZ1516" s="39"/>
      <c r="BA1516" s="39"/>
      <c r="BK1516" s="39"/>
    </row>
    <row r="1517" spans="2:63" x14ac:dyDescent="0.2">
      <c r="B1517" s="38"/>
      <c r="AY1517" s="39"/>
      <c r="AZ1517" s="39"/>
      <c r="BA1517" s="39"/>
      <c r="BK1517" s="39"/>
    </row>
    <row r="1518" spans="2:63" x14ac:dyDescent="0.2">
      <c r="B1518" s="38"/>
      <c r="AY1518" s="39"/>
      <c r="AZ1518" s="39"/>
      <c r="BA1518" s="39"/>
      <c r="BK1518" s="39"/>
    </row>
    <row r="1519" spans="2:63" x14ac:dyDescent="0.2">
      <c r="B1519" s="38"/>
      <c r="AY1519" s="39"/>
      <c r="AZ1519" s="39"/>
      <c r="BA1519" s="39"/>
      <c r="BK1519" s="39"/>
    </row>
    <row r="1520" spans="2:63" x14ac:dyDescent="0.2">
      <c r="B1520" s="38"/>
      <c r="AY1520" s="39"/>
      <c r="AZ1520" s="39"/>
      <c r="BA1520" s="39"/>
      <c r="BK1520" s="39"/>
    </row>
    <row r="1521" spans="2:63" x14ac:dyDescent="0.2">
      <c r="B1521" s="38"/>
      <c r="AY1521" s="39"/>
      <c r="AZ1521" s="39"/>
      <c r="BA1521" s="39"/>
      <c r="BK1521" s="39"/>
    </row>
    <row r="1522" spans="2:63" x14ac:dyDescent="0.2">
      <c r="B1522" s="38"/>
      <c r="AY1522" s="39"/>
      <c r="AZ1522" s="39"/>
      <c r="BA1522" s="39"/>
      <c r="BK1522" s="39"/>
    </row>
    <row r="1523" spans="2:63" x14ac:dyDescent="0.2">
      <c r="B1523" s="38"/>
      <c r="AY1523" s="39"/>
      <c r="AZ1523" s="39"/>
      <c r="BA1523" s="39"/>
      <c r="BK1523" s="39"/>
    </row>
    <row r="1524" spans="2:63" x14ac:dyDescent="0.2">
      <c r="B1524" s="38"/>
      <c r="AY1524" s="39"/>
      <c r="AZ1524" s="39"/>
      <c r="BA1524" s="39"/>
      <c r="BK1524" s="39"/>
    </row>
    <row r="1525" spans="2:63" x14ac:dyDescent="0.2">
      <c r="B1525" s="38"/>
      <c r="AY1525" s="39"/>
      <c r="AZ1525" s="39"/>
      <c r="BA1525" s="39"/>
      <c r="BK1525" s="39"/>
    </row>
    <row r="1526" spans="2:63" x14ac:dyDescent="0.2">
      <c r="B1526" s="38"/>
      <c r="AY1526" s="39"/>
      <c r="AZ1526" s="39"/>
      <c r="BA1526" s="39"/>
      <c r="BK1526" s="39"/>
    </row>
    <row r="1527" spans="2:63" x14ac:dyDescent="0.2">
      <c r="B1527" s="38"/>
      <c r="AY1527" s="39"/>
      <c r="AZ1527" s="39"/>
      <c r="BA1527" s="39"/>
      <c r="BK1527" s="39"/>
    </row>
    <row r="1528" spans="2:63" x14ac:dyDescent="0.2">
      <c r="B1528" s="38"/>
      <c r="AY1528" s="39"/>
      <c r="AZ1528" s="39"/>
      <c r="BA1528" s="39"/>
      <c r="BK1528" s="39"/>
    </row>
    <row r="1529" spans="2:63" x14ac:dyDescent="0.2">
      <c r="B1529" s="38"/>
      <c r="AY1529" s="39"/>
      <c r="AZ1529" s="39"/>
      <c r="BA1529" s="39"/>
      <c r="BK1529" s="39"/>
    </row>
    <row r="1530" spans="2:63" x14ac:dyDescent="0.2">
      <c r="B1530" s="38"/>
      <c r="AY1530" s="39"/>
      <c r="AZ1530" s="39"/>
      <c r="BA1530" s="39"/>
      <c r="BK1530" s="39"/>
    </row>
    <row r="1531" spans="2:63" x14ac:dyDescent="0.2">
      <c r="B1531" s="38"/>
      <c r="AY1531" s="39"/>
      <c r="AZ1531" s="39"/>
      <c r="BA1531" s="39"/>
      <c r="BK1531" s="39"/>
    </row>
    <row r="1532" spans="2:63" x14ac:dyDescent="0.2">
      <c r="B1532" s="38"/>
      <c r="AY1532" s="39"/>
      <c r="AZ1532" s="39"/>
      <c r="BA1532" s="39"/>
      <c r="BK1532" s="39"/>
    </row>
    <row r="1533" spans="2:63" x14ac:dyDescent="0.2">
      <c r="B1533" s="38"/>
      <c r="AY1533" s="39"/>
      <c r="AZ1533" s="39"/>
      <c r="BA1533" s="39"/>
      <c r="BK1533" s="39"/>
    </row>
    <row r="1534" spans="2:63" x14ac:dyDescent="0.2">
      <c r="B1534" s="38"/>
      <c r="AY1534" s="39"/>
      <c r="AZ1534" s="39"/>
      <c r="BA1534" s="39"/>
      <c r="BK1534" s="39"/>
    </row>
    <row r="1535" spans="2:63" x14ac:dyDescent="0.2">
      <c r="B1535" s="38"/>
      <c r="AY1535" s="39"/>
      <c r="AZ1535" s="39"/>
      <c r="BA1535" s="39"/>
      <c r="BK1535" s="39"/>
    </row>
    <row r="1536" spans="2:63" x14ac:dyDescent="0.2">
      <c r="B1536" s="38"/>
      <c r="AY1536" s="39"/>
      <c r="AZ1536" s="39"/>
      <c r="BA1536" s="39"/>
      <c r="BK1536" s="39"/>
    </row>
    <row r="1537" spans="2:63" x14ac:dyDescent="0.2">
      <c r="B1537" s="38"/>
      <c r="AY1537" s="39"/>
      <c r="AZ1537" s="39"/>
      <c r="BA1537" s="39"/>
      <c r="BK1537" s="39"/>
    </row>
    <row r="1538" spans="2:63" x14ac:dyDescent="0.2">
      <c r="B1538" s="38"/>
      <c r="AY1538" s="39"/>
      <c r="AZ1538" s="39"/>
      <c r="BA1538" s="39"/>
      <c r="BK1538" s="39"/>
    </row>
    <row r="1539" spans="2:63" x14ac:dyDescent="0.2">
      <c r="B1539" s="38"/>
      <c r="AY1539" s="39"/>
      <c r="AZ1539" s="39"/>
      <c r="BA1539" s="39"/>
      <c r="BK1539" s="39"/>
    </row>
    <row r="1540" spans="2:63" x14ac:dyDescent="0.2">
      <c r="B1540" s="38"/>
      <c r="AY1540" s="39"/>
      <c r="AZ1540" s="39"/>
      <c r="BA1540" s="39"/>
      <c r="BK1540" s="39"/>
    </row>
    <row r="1541" spans="2:63" x14ac:dyDescent="0.2">
      <c r="B1541" s="38"/>
      <c r="AY1541" s="39"/>
      <c r="AZ1541" s="39"/>
      <c r="BA1541" s="39"/>
      <c r="BK1541" s="39"/>
    </row>
    <row r="1542" spans="2:63" x14ac:dyDescent="0.2">
      <c r="B1542" s="38"/>
      <c r="AY1542" s="39"/>
      <c r="AZ1542" s="39"/>
      <c r="BA1542" s="39"/>
      <c r="BK1542" s="39"/>
    </row>
    <row r="1543" spans="2:63" x14ac:dyDescent="0.2">
      <c r="B1543" s="38"/>
      <c r="AY1543" s="39"/>
      <c r="AZ1543" s="39"/>
      <c r="BA1543" s="39"/>
      <c r="BK1543" s="39"/>
    </row>
    <row r="1544" spans="2:63" x14ac:dyDescent="0.2">
      <c r="B1544" s="38"/>
      <c r="AY1544" s="39"/>
      <c r="AZ1544" s="39"/>
      <c r="BA1544" s="39"/>
      <c r="BK1544" s="39"/>
    </row>
    <row r="1545" spans="2:63" x14ac:dyDescent="0.2">
      <c r="B1545" s="38"/>
      <c r="AY1545" s="39"/>
      <c r="AZ1545" s="39"/>
      <c r="BA1545" s="39"/>
      <c r="BK1545" s="39"/>
    </row>
    <row r="1546" spans="2:63" x14ac:dyDescent="0.2">
      <c r="B1546" s="38"/>
      <c r="AY1546" s="39"/>
      <c r="AZ1546" s="39"/>
      <c r="BA1546" s="39"/>
      <c r="BK1546" s="39"/>
    </row>
    <row r="1547" spans="2:63" x14ac:dyDescent="0.2">
      <c r="B1547" s="38"/>
      <c r="AY1547" s="39"/>
      <c r="AZ1547" s="39"/>
      <c r="BA1547" s="39"/>
      <c r="BK1547" s="39"/>
    </row>
    <row r="1548" spans="2:63" x14ac:dyDescent="0.2">
      <c r="B1548" s="38"/>
      <c r="AY1548" s="39"/>
      <c r="AZ1548" s="39"/>
      <c r="BA1548" s="39"/>
      <c r="BK1548" s="39"/>
    </row>
    <row r="1549" spans="2:63" x14ac:dyDescent="0.2">
      <c r="B1549" s="38"/>
      <c r="AY1549" s="39"/>
      <c r="AZ1549" s="39"/>
      <c r="BA1549" s="39"/>
      <c r="BK1549" s="39"/>
    </row>
    <row r="1550" spans="2:63" x14ac:dyDescent="0.2">
      <c r="B1550" s="38"/>
      <c r="AY1550" s="39"/>
      <c r="AZ1550" s="39"/>
      <c r="BA1550" s="39"/>
      <c r="BK1550" s="39"/>
    </row>
    <row r="1551" spans="2:63" x14ac:dyDescent="0.2">
      <c r="B1551" s="38"/>
      <c r="AY1551" s="39"/>
      <c r="AZ1551" s="39"/>
      <c r="BA1551" s="39"/>
      <c r="BK1551" s="39"/>
    </row>
    <row r="1552" spans="2:63" x14ac:dyDescent="0.2">
      <c r="B1552" s="38"/>
      <c r="AY1552" s="39"/>
      <c r="AZ1552" s="39"/>
      <c r="BA1552" s="39"/>
      <c r="BK1552" s="39"/>
    </row>
    <row r="1553" spans="2:63" x14ac:dyDescent="0.2">
      <c r="B1553" s="38"/>
      <c r="AY1553" s="39"/>
      <c r="AZ1553" s="39"/>
      <c r="BA1553" s="39"/>
      <c r="BK1553" s="39"/>
    </row>
    <row r="1554" spans="2:63" x14ac:dyDescent="0.2">
      <c r="B1554" s="38"/>
      <c r="AY1554" s="39"/>
      <c r="AZ1554" s="39"/>
      <c r="BA1554" s="39"/>
      <c r="BK1554" s="39"/>
    </row>
    <row r="1555" spans="2:63" x14ac:dyDescent="0.2">
      <c r="B1555" s="38"/>
      <c r="AY1555" s="39"/>
      <c r="AZ1555" s="39"/>
      <c r="BA1555" s="39"/>
      <c r="BK1555" s="39"/>
    </row>
    <row r="1556" spans="2:63" x14ac:dyDescent="0.2">
      <c r="B1556" s="38"/>
      <c r="AY1556" s="39"/>
      <c r="AZ1556" s="39"/>
      <c r="BA1556" s="39"/>
      <c r="BK1556" s="39"/>
    </row>
    <row r="1557" spans="2:63" x14ac:dyDescent="0.2">
      <c r="B1557" s="38"/>
      <c r="AY1557" s="39"/>
      <c r="AZ1557" s="39"/>
      <c r="BA1557" s="39"/>
      <c r="BK1557" s="39"/>
    </row>
    <row r="1558" spans="2:63" x14ac:dyDescent="0.2">
      <c r="B1558" s="38"/>
      <c r="AY1558" s="39"/>
      <c r="AZ1558" s="39"/>
      <c r="BA1558" s="39"/>
      <c r="BK1558" s="39"/>
    </row>
    <row r="1559" spans="2:63" x14ac:dyDescent="0.2">
      <c r="B1559" s="38"/>
      <c r="AY1559" s="39"/>
      <c r="AZ1559" s="39"/>
      <c r="BA1559" s="39"/>
      <c r="BK1559" s="39"/>
    </row>
    <row r="1560" spans="2:63" x14ac:dyDescent="0.2">
      <c r="B1560" s="38"/>
      <c r="AY1560" s="39"/>
      <c r="AZ1560" s="39"/>
      <c r="BA1560" s="39"/>
      <c r="BK1560" s="39"/>
    </row>
    <row r="1561" spans="2:63" x14ac:dyDescent="0.2">
      <c r="B1561" s="38"/>
      <c r="AY1561" s="39"/>
      <c r="AZ1561" s="39"/>
      <c r="BA1561" s="39"/>
      <c r="BK1561" s="39"/>
    </row>
    <row r="1562" spans="2:63" x14ac:dyDescent="0.2">
      <c r="B1562" s="38"/>
      <c r="AY1562" s="39"/>
      <c r="AZ1562" s="39"/>
      <c r="BA1562" s="39"/>
      <c r="BK1562" s="39"/>
    </row>
    <row r="1563" spans="2:63" x14ac:dyDescent="0.2">
      <c r="B1563" s="38"/>
      <c r="AY1563" s="39"/>
      <c r="AZ1563" s="39"/>
      <c r="BA1563" s="39"/>
      <c r="BK1563" s="39"/>
    </row>
    <row r="1564" spans="2:63" x14ac:dyDescent="0.2">
      <c r="B1564" s="38"/>
      <c r="AY1564" s="39"/>
      <c r="AZ1564" s="39"/>
      <c r="BA1564" s="39"/>
      <c r="BK1564" s="39"/>
    </row>
    <row r="1565" spans="2:63" x14ac:dyDescent="0.2">
      <c r="B1565" s="38"/>
      <c r="AY1565" s="39"/>
      <c r="AZ1565" s="39"/>
      <c r="BA1565" s="39"/>
      <c r="BK1565" s="39"/>
    </row>
    <row r="1566" spans="2:63" x14ac:dyDescent="0.2">
      <c r="B1566" s="38"/>
      <c r="AY1566" s="39"/>
      <c r="AZ1566" s="39"/>
      <c r="BA1566" s="39"/>
      <c r="BK1566" s="39"/>
    </row>
    <row r="1567" spans="2:63" x14ac:dyDescent="0.2">
      <c r="B1567" s="38"/>
      <c r="AY1567" s="39"/>
      <c r="AZ1567" s="39"/>
      <c r="BA1567" s="39"/>
      <c r="BK1567" s="39"/>
    </row>
    <row r="1568" spans="2:63" x14ac:dyDescent="0.2">
      <c r="B1568" s="38"/>
      <c r="AY1568" s="39"/>
      <c r="AZ1568" s="39"/>
      <c r="BA1568" s="39"/>
      <c r="BK1568" s="39"/>
    </row>
    <row r="1569" spans="2:63" x14ac:dyDescent="0.2">
      <c r="B1569" s="38"/>
      <c r="AY1569" s="39"/>
      <c r="AZ1569" s="39"/>
      <c r="BA1569" s="39"/>
      <c r="BK1569" s="39"/>
    </row>
    <row r="1570" spans="2:63" x14ac:dyDescent="0.2">
      <c r="B1570" s="38"/>
      <c r="AY1570" s="39"/>
      <c r="AZ1570" s="39"/>
      <c r="BA1570" s="39"/>
      <c r="BK1570" s="39"/>
    </row>
    <row r="1571" spans="2:63" x14ac:dyDescent="0.2">
      <c r="B1571" s="38"/>
      <c r="AY1571" s="39"/>
      <c r="AZ1571" s="39"/>
      <c r="BA1571" s="39"/>
      <c r="BK1571" s="39"/>
    </row>
    <row r="1572" spans="2:63" x14ac:dyDescent="0.2">
      <c r="B1572" s="38"/>
      <c r="AY1572" s="39"/>
      <c r="AZ1572" s="39"/>
      <c r="BA1572" s="39"/>
      <c r="BK1572" s="39"/>
    </row>
    <row r="1573" spans="2:63" x14ac:dyDescent="0.2">
      <c r="B1573" s="38"/>
      <c r="AY1573" s="39"/>
      <c r="AZ1573" s="39"/>
      <c r="BA1573" s="39"/>
      <c r="BK1573" s="39"/>
    </row>
    <row r="1574" spans="2:63" x14ac:dyDescent="0.2">
      <c r="B1574" s="38"/>
      <c r="AY1574" s="39"/>
      <c r="AZ1574" s="39"/>
      <c r="BA1574" s="39"/>
      <c r="BK1574" s="39"/>
    </row>
    <row r="1575" spans="2:63" x14ac:dyDescent="0.2">
      <c r="B1575" s="38"/>
      <c r="AY1575" s="39"/>
      <c r="AZ1575" s="39"/>
      <c r="BA1575" s="39"/>
      <c r="BK1575" s="39"/>
    </row>
    <row r="1576" spans="2:63" x14ac:dyDescent="0.2">
      <c r="B1576" s="38"/>
      <c r="AY1576" s="39"/>
      <c r="AZ1576" s="39"/>
      <c r="BA1576" s="39"/>
      <c r="BK1576" s="39"/>
    </row>
    <row r="1577" spans="2:63" x14ac:dyDescent="0.2">
      <c r="B1577" s="38"/>
      <c r="AY1577" s="39"/>
      <c r="AZ1577" s="39"/>
      <c r="BA1577" s="39"/>
      <c r="BK1577" s="39"/>
    </row>
    <row r="1578" spans="2:63" x14ac:dyDescent="0.2">
      <c r="B1578" s="38"/>
      <c r="AY1578" s="39"/>
      <c r="AZ1578" s="39"/>
      <c r="BA1578" s="39"/>
      <c r="BK1578" s="39"/>
    </row>
    <row r="1579" spans="2:63" x14ac:dyDescent="0.2">
      <c r="B1579" s="38"/>
      <c r="AY1579" s="39"/>
      <c r="AZ1579" s="39"/>
      <c r="BA1579" s="39"/>
      <c r="BK1579" s="39"/>
    </row>
    <row r="1580" spans="2:63" x14ac:dyDescent="0.2">
      <c r="B1580" s="38"/>
      <c r="AY1580" s="39"/>
      <c r="AZ1580" s="39"/>
      <c r="BA1580" s="39"/>
      <c r="BK1580" s="39"/>
    </row>
    <row r="1581" spans="2:63" x14ac:dyDescent="0.2">
      <c r="B1581" s="38"/>
      <c r="AY1581" s="39"/>
      <c r="AZ1581" s="39"/>
      <c r="BA1581" s="39"/>
      <c r="BK1581" s="39"/>
    </row>
    <row r="1582" spans="2:63" x14ac:dyDescent="0.2">
      <c r="B1582" s="38"/>
      <c r="AY1582" s="39"/>
      <c r="AZ1582" s="39"/>
      <c r="BA1582" s="39"/>
      <c r="BK1582" s="39"/>
    </row>
    <row r="1583" spans="2:63" x14ac:dyDescent="0.2">
      <c r="B1583" s="38"/>
      <c r="AY1583" s="39"/>
      <c r="AZ1583" s="39"/>
      <c r="BA1583" s="39"/>
      <c r="BK1583" s="39"/>
    </row>
    <row r="1584" spans="2:63" x14ac:dyDescent="0.2">
      <c r="B1584" s="38"/>
      <c r="AY1584" s="39"/>
      <c r="AZ1584" s="39"/>
      <c r="BA1584" s="39"/>
      <c r="BK1584" s="39"/>
    </row>
    <row r="1585" spans="2:63" x14ac:dyDescent="0.2">
      <c r="B1585" s="38"/>
      <c r="AY1585" s="39"/>
      <c r="AZ1585" s="39"/>
      <c r="BA1585" s="39"/>
      <c r="BK1585" s="39"/>
    </row>
    <row r="1586" spans="2:63" x14ac:dyDescent="0.2">
      <c r="B1586" s="38"/>
      <c r="AY1586" s="39"/>
      <c r="AZ1586" s="39"/>
      <c r="BA1586" s="39"/>
      <c r="BK1586" s="39"/>
    </row>
    <row r="1587" spans="2:63" x14ac:dyDescent="0.2">
      <c r="B1587" s="38"/>
      <c r="AY1587" s="39"/>
      <c r="AZ1587" s="39"/>
      <c r="BA1587" s="39"/>
      <c r="BK1587" s="39"/>
    </row>
    <row r="1588" spans="2:63" x14ac:dyDescent="0.2">
      <c r="B1588" s="38"/>
      <c r="AY1588" s="39"/>
      <c r="AZ1588" s="39"/>
      <c r="BA1588" s="39"/>
      <c r="BK1588" s="39"/>
    </row>
    <row r="1589" spans="2:63" x14ac:dyDescent="0.2">
      <c r="B1589" s="38"/>
      <c r="AY1589" s="39"/>
      <c r="AZ1589" s="39"/>
      <c r="BA1589" s="39"/>
      <c r="BK1589" s="39"/>
    </row>
    <row r="1590" spans="2:63" x14ac:dyDescent="0.2">
      <c r="B1590" s="38"/>
      <c r="AY1590" s="39"/>
      <c r="AZ1590" s="39"/>
      <c r="BA1590" s="39"/>
      <c r="BK1590" s="39"/>
    </row>
    <row r="1591" spans="2:63" x14ac:dyDescent="0.2">
      <c r="B1591" s="38"/>
      <c r="AY1591" s="39"/>
      <c r="AZ1591" s="39"/>
      <c r="BA1591" s="39"/>
      <c r="BK1591" s="39"/>
    </row>
    <row r="1592" spans="2:63" x14ac:dyDescent="0.2">
      <c r="B1592" s="38"/>
      <c r="AY1592" s="39"/>
      <c r="AZ1592" s="39"/>
      <c r="BA1592" s="39"/>
      <c r="BK1592" s="39"/>
    </row>
    <row r="1593" spans="2:63" x14ac:dyDescent="0.2">
      <c r="B1593" s="38"/>
      <c r="AY1593" s="39"/>
      <c r="AZ1593" s="39"/>
      <c r="BA1593" s="39"/>
      <c r="BK1593" s="39"/>
    </row>
    <row r="1594" spans="2:63" x14ac:dyDescent="0.2">
      <c r="B1594" s="38"/>
      <c r="AY1594" s="39"/>
      <c r="AZ1594" s="39"/>
      <c r="BA1594" s="39"/>
      <c r="BK1594" s="39"/>
    </row>
    <row r="1595" spans="2:63" x14ac:dyDescent="0.2">
      <c r="B1595" s="38"/>
      <c r="AY1595" s="39"/>
      <c r="AZ1595" s="39"/>
      <c r="BA1595" s="39"/>
      <c r="BK1595" s="39"/>
    </row>
    <row r="1596" spans="2:63" x14ac:dyDescent="0.2">
      <c r="B1596" s="38"/>
      <c r="AY1596" s="39"/>
      <c r="AZ1596" s="39"/>
      <c r="BA1596" s="39"/>
      <c r="BK1596" s="39"/>
    </row>
    <row r="1597" spans="2:63" x14ac:dyDescent="0.2">
      <c r="B1597" s="38"/>
      <c r="AY1597" s="39"/>
      <c r="AZ1597" s="39"/>
      <c r="BA1597" s="39"/>
      <c r="BK1597" s="39"/>
    </row>
    <row r="1598" spans="2:63" x14ac:dyDescent="0.2">
      <c r="B1598" s="38"/>
      <c r="AY1598" s="39"/>
      <c r="AZ1598" s="39"/>
      <c r="BA1598" s="39"/>
      <c r="BK1598" s="39"/>
    </row>
    <row r="1599" spans="2:63" x14ac:dyDescent="0.2">
      <c r="B1599" s="38"/>
      <c r="AY1599" s="39"/>
      <c r="AZ1599" s="39"/>
      <c r="BA1599" s="39"/>
      <c r="BK1599" s="39"/>
    </row>
    <row r="1600" spans="2:63" x14ac:dyDescent="0.2">
      <c r="B1600" s="38"/>
      <c r="AY1600" s="39"/>
      <c r="AZ1600" s="39"/>
      <c r="BA1600" s="39"/>
      <c r="BK1600" s="39"/>
    </row>
    <row r="1601" spans="2:63" x14ac:dyDescent="0.2">
      <c r="B1601" s="38"/>
      <c r="AY1601" s="39"/>
      <c r="AZ1601" s="39"/>
      <c r="BA1601" s="39"/>
      <c r="BK1601" s="39"/>
    </row>
    <row r="1602" spans="2:63" x14ac:dyDescent="0.2">
      <c r="B1602" s="38"/>
      <c r="AY1602" s="39"/>
      <c r="AZ1602" s="39"/>
      <c r="BA1602" s="39"/>
      <c r="BK1602" s="39"/>
    </row>
    <row r="1603" spans="2:63" x14ac:dyDescent="0.2">
      <c r="B1603" s="38"/>
      <c r="AY1603" s="39"/>
      <c r="AZ1603" s="39"/>
      <c r="BA1603" s="39"/>
      <c r="BK1603" s="39"/>
    </row>
    <row r="1604" spans="2:63" x14ac:dyDescent="0.2">
      <c r="B1604" s="38"/>
      <c r="AY1604" s="39"/>
      <c r="AZ1604" s="39"/>
      <c r="BA1604" s="39"/>
      <c r="BK1604" s="39"/>
    </row>
    <row r="1605" spans="2:63" x14ac:dyDescent="0.2">
      <c r="B1605" s="38"/>
      <c r="AY1605" s="39"/>
      <c r="AZ1605" s="39"/>
      <c r="BA1605" s="39"/>
      <c r="BK1605" s="39"/>
    </row>
    <row r="1606" spans="2:63" x14ac:dyDescent="0.2">
      <c r="B1606" s="38"/>
      <c r="AY1606" s="39"/>
      <c r="AZ1606" s="39"/>
      <c r="BA1606" s="39"/>
      <c r="BK1606" s="39"/>
    </row>
    <row r="1607" spans="2:63" x14ac:dyDescent="0.2">
      <c r="B1607" s="38"/>
      <c r="AY1607" s="39"/>
      <c r="AZ1607" s="39"/>
      <c r="BA1607" s="39"/>
      <c r="BK1607" s="39"/>
    </row>
    <row r="1608" spans="2:63" x14ac:dyDescent="0.2">
      <c r="B1608" s="38"/>
      <c r="AY1608" s="39"/>
      <c r="AZ1608" s="39"/>
      <c r="BA1608" s="39"/>
      <c r="BK1608" s="39"/>
    </row>
    <row r="1609" spans="2:63" x14ac:dyDescent="0.2">
      <c r="B1609" s="38"/>
      <c r="AY1609" s="39"/>
      <c r="AZ1609" s="39"/>
      <c r="BA1609" s="39"/>
      <c r="BK1609" s="39"/>
    </row>
    <row r="1610" spans="2:63" x14ac:dyDescent="0.2">
      <c r="B1610" s="38"/>
      <c r="AY1610" s="39"/>
      <c r="AZ1610" s="39"/>
      <c r="BA1610" s="39"/>
      <c r="BK1610" s="39"/>
    </row>
    <row r="1611" spans="2:63" x14ac:dyDescent="0.2">
      <c r="B1611" s="38"/>
      <c r="AY1611" s="39"/>
      <c r="AZ1611" s="39"/>
      <c r="BA1611" s="39"/>
      <c r="BK1611" s="39"/>
    </row>
    <row r="1612" spans="2:63" x14ac:dyDescent="0.2">
      <c r="B1612" s="38"/>
      <c r="AY1612" s="39"/>
      <c r="AZ1612" s="39"/>
      <c r="BA1612" s="39"/>
      <c r="BK1612" s="39"/>
    </row>
    <row r="1613" spans="2:63" x14ac:dyDescent="0.2">
      <c r="B1613" s="38"/>
      <c r="AY1613" s="39"/>
      <c r="AZ1613" s="39"/>
      <c r="BA1613" s="39"/>
      <c r="BK1613" s="39"/>
    </row>
    <row r="1614" spans="2:63" x14ac:dyDescent="0.2">
      <c r="B1614" s="38"/>
      <c r="AY1614" s="39"/>
      <c r="AZ1614" s="39"/>
      <c r="BA1614" s="39"/>
      <c r="BK1614" s="39"/>
    </row>
    <row r="1615" spans="2:63" x14ac:dyDescent="0.2">
      <c r="B1615" s="38"/>
      <c r="AY1615" s="39"/>
      <c r="AZ1615" s="39"/>
      <c r="BA1615" s="39"/>
      <c r="BK1615" s="39"/>
    </row>
    <row r="1616" spans="2:63" x14ac:dyDescent="0.2">
      <c r="B1616" s="38"/>
      <c r="AY1616" s="39"/>
      <c r="AZ1616" s="39"/>
      <c r="BA1616" s="39"/>
      <c r="BK1616" s="39"/>
    </row>
    <row r="1617" spans="2:63" x14ac:dyDescent="0.2">
      <c r="B1617" s="38"/>
      <c r="AY1617" s="39"/>
      <c r="AZ1617" s="39"/>
      <c r="BA1617" s="39"/>
      <c r="BK1617" s="39"/>
    </row>
    <row r="1618" spans="2:63" x14ac:dyDescent="0.2">
      <c r="B1618" s="38"/>
      <c r="AY1618" s="39"/>
      <c r="AZ1618" s="39"/>
      <c r="BA1618" s="39"/>
      <c r="BK1618" s="39"/>
    </row>
    <row r="1619" spans="2:63" x14ac:dyDescent="0.2">
      <c r="B1619" s="38"/>
      <c r="AY1619" s="39"/>
      <c r="AZ1619" s="39"/>
      <c r="BA1619" s="39"/>
      <c r="BK1619" s="39"/>
    </row>
    <row r="1620" spans="2:63" x14ac:dyDescent="0.2">
      <c r="B1620" s="38"/>
      <c r="AY1620" s="39"/>
      <c r="AZ1620" s="39"/>
      <c r="BA1620" s="39"/>
      <c r="BK1620" s="39"/>
    </row>
    <row r="1621" spans="2:63" x14ac:dyDescent="0.2">
      <c r="B1621" s="38"/>
      <c r="AY1621" s="39"/>
      <c r="AZ1621" s="39"/>
      <c r="BA1621" s="39"/>
      <c r="BK1621" s="39"/>
    </row>
    <row r="1622" spans="2:63" x14ac:dyDescent="0.2">
      <c r="B1622" s="38"/>
      <c r="AY1622" s="39"/>
      <c r="AZ1622" s="39"/>
      <c r="BA1622" s="39"/>
      <c r="BK1622" s="39"/>
    </row>
    <row r="1623" spans="2:63" x14ac:dyDescent="0.2">
      <c r="B1623" s="38"/>
      <c r="AY1623" s="39"/>
      <c r="AZ1623" s="39"/>
      <c r="BA1623" s="39"/>
      <c r="BK1623" s="39"/>
    </row>
    <row r="1624" spans="2:63" x14ac:dyDescent="0.2">
      <c r="B1624" s="38"/>
      <c r="AY1624" s="39"/>
      <c r="AZ1624" s="39"/>
      <c r="BA1624" s="39"/>
      <c r="BK1624" s="39"/>
    </row>
    <row r="1625" spans="2:63" x14ac:dyDescent="0.2">
      <c r="B1625" s="38"/>
      <c r="AY1625" s="39"/>
      <c r="AZ1625" s="39"/>
      <c r="BA1625" s="39"/>
      <c r="BK1625" s="39"/>
    </row>
    <row r="1626" spans="2:63" x14ac:dyDescent="0.2">
      <c r="B1626" s="38"/>
      <c r="AY1626" s="39"/>
      <c r="AZ1626" s="39"/>
      <c r="BA1626" s="39"/>
      <c r="BK1626" s="39"/>
    </row>
    <row r="1627" spans="2:63" x14ac:dyDescent="0.2">
      <c r="B1627" s="38"/>
      <c r="AY1627" s="39"/>
      <c r="AZ1627" s="39"/>
      <c r="BA1627" s="39"/>
      <c r="BK1627" s="39"/>
    </row>
    <row r="1628" spans="2:63" x14ac:dyDescent="0.2">
      <c r="B1628" s="38"/>
      <c r="AY1628" s="39"/>
      <c r="AZ1628" s="39"/>
      <c r="BA1628" s="39"/>
      <c r="BK1628" s="39"/>
    </row>
    <row r="1629" spans="2:63" x14ac:dyDescent="0.2">
      <c r="B1629" s="38"/>
      <c r="AY1629" s="39"/>
      <c r="AZ1629" s="39"/>
      <c r="BA1629" s="39"/>
      <c r="BK1629" s="39"/>
    </row>
    <row r="1630" spans="2:63" x14ac:dyDescent="0.2">
      <c r="B1630" s="38"/>
      <c r="AY1630" s="39"/>
      <c r="AZ1630" s="39"/>
      <c r="BA1630" s="39"/>
      <c r="BK1630" s="39"/>
    </row>
    <row r="1631" spans="2:63" x14ac:dyDescent="0.2">
      <c r="B1631" s="38"/>
      <c r="AY1631" s="39"/>
      <c r="AZ1631" s="39"/>
      <c r="BA1631" s="39"/>
      <c r="BK1631" s="39"/>
    </row>
    <row r="1632" spans="2:63" x14ac:dyDescent="0.2">
      <c r="B1632" s="38"/>
      <c r="AY1632" s="39"/>
      <c r="AZ1632" s="39"/>
      <c r="BA1632" s="39"/>
      <c r="BK1632" s="39"/>
    </row>
    <row r="1633" spans="2:63" x14ac:dyDescent="0.2">
      <c r="B1633" s="38"/>
      <c r="AY1633" s="39"/>
      <c r="AZ1633" s="39"/>
      <c r="BA1633" s="39"/>
      <c r="BK1633" s="39"/>
    </row>
    <row r="1634" spans="2:63" x14ac:dyDescent="0.2">
      <c r="B1634" s="38"/>
      <c r="AY1634" s="39"/>
      <c r="AZ1634" s="39"/>
      <c r="BA1634" s="39"/>
      <c r="BK1634" s="39"/>
    </row>
    <row r="1635" spans="2:63" x14ac:dyDescent="0.2">
      <c r="B1635" s="38"/>
      <c r="AY1635" s="39"/>
      <c r="AZ1635" s="39"/>
      <c r="BA1635" s="39"/>
      <c r="BK1635" s="39"/>
    </row>
    <row r="1636" spans="2:63" x14ac:dyDescent="0.2">
      <c r="B1636" s="38"/>
      <c r="AY1636" s="39"/>
      <c r="AZ1636" s="39"/>
      <c r="BA1636" s="39"/>
      <c r="BK1636" s="39"/>
    </row>
    <row r="1637" spans="2:63" x14ac:dyDescent="0.2">
      <c r="B1637" s="38"/>
      <c r="AY1637" s="39"/>
      <c r="AZ1637" s="39"/>
      <c r="BA1637" s="39"/>
      <c r="BK1637" s="39"/>
    </row>
    <row r="1638" spans="2:63" x14ac:dyDescent="0.2">
      <c r="B1638" s="38"/>
      <c r="AY1638" s="39"/>
      <c r="AZ1638" s="39"/>
      <c r="BA1638" s="39"/>
      <c r="BK1638" s="39"/>
    </row>
    <row r="1639" spans="2:63" x14ac:dyDescent="0.2">
      <c r="B1639" s="38"/>
      <c r="AY1639" s="39"/>
      <c r="AZ1639" s="39"/>
      <c r="BA1639" s="39"/>
      <c r="BK1639" s="39"/>
    </row>
    <row r="1640" spans="2:63" x14ac:dyDescent="0.2">
      <c r="B1640" s="38"/>
      <c r="AY1640" s="39"/>
      <c r="AZ1640" s="39"/>
      <c r="BA1640" s="39"/>
      <c r="BK1640" s="39"/>
    </row>
    <row r="1641" spans="2:63" x14ac:dyDescent="0.2">
      <c r="B1641" s="38"/>
      <c r="AY1641" s="39"/>
      <c r="AZ1641" s="39"/>
      <c r="BA1641" s="39"/>
      <c r="BK1641" s="39"/>
    </row>
    <row r="1642" spans="2:63" x14ac:dyDescent="0.2">
      <c r="B1642" s="38"/>
      <c r="AY1642" s="39"/>
      <c r="AZ1642" s="39"/>
      <c r="BA1642" s="39"/>
      <c r="BK1642" s="39"/>
    </row>
    <row r="1643" spans="2:63" x14ac:dyDescent="0.2">
      <c r="B1643" s="38"/>
      <c r="AY1643" s="39"/>
      <c r="AZ1643" s="39"/>
      <c r="BA1643" s="39"/>
      <c r="BK1643" s="39"/>
    </row>
    <row r="1644" spans="2:63" x14ac:dyDescent="0.2">
      <c r="B1644" s="38"/>
      <c r="AY1644" s="39"/>
      <c r="AZ1644" s="39"/>
      <c r="BA1644" s="39"/>
      <c r="BK1644" s="39"/>
    </row>
    <row r="1645" spans="2:63" x14ac:dyDescent="0.2">
      <c r="B1645" s="38"/>
      <c r="AY1645" s="39"/>
      <c r="AZ1645" s="39"/>
      <c r="BA1645" s="39"/>
      <c r="BK1645" s="39"/>
    </row>
    <row r="1646" spans="2:63" x14ac:dyDescent="0.2">
      <c r="B1646" s="38"/>
      <c r="AY1646" s="39"/>
      <c r="AZ1646" s="39"/>
      <c r="BA1646" s="39"/>
      <c r="BK1646" s="39"/>
    </row>
    <row r="1647" spans="2:63" x14ac:dyDescent="0.2">
      <c r="B1647" s="38"/>
      <c r="AY1647" s="39"/>
      <c r="AZ1647" s="39"/>
      <c r="BA1647" s="39"/>
      <c r="BK1647" s="39"/>
    </row>
    <row r="1648" spans="2:63" x14ac:dyDescent="0.2">
      <c r="B1648" s="38"/>
      <c r="AY1648" s="39"/>
      <c r="AZ1648" s="39"/>
      <c r="BA1648" s="39"/>
      <c r="BK1648" s="39"/>
    </row>
    <row r="1649" spans="2:63" x14ac:dyDescent="0.2">
      <c r="B1649" s="38"/>
      <c r="AY1649" s="39"/>
      <c r="AZ1649" s="39"/>
      <c r="BA1649" s="39"/>
      <c r="BK1649" s="39"/>
    </row>
    <row r="1650" spans="2:63" x14ac:dyDescent="0.2">
      <c r="B1650" s="38"/>
      <c r="AY1650" s="39"/>
      <c r="AZ1650" s="39"/>
      <c r="BA1650" s="39"/>
      <c r="BK1650" s="39"/>
    </row>
    <row r="1651" spans="2:63" x14ac:dyDescent="0.2">
      <c r="B1651" s="38"/>
      <c r="AY1651" s="39"/>
      <c r="AZ1651" s="39"/>
      <c r="BA1651" s="39"/>
      <c r="BK1651" s="39"/>
    </row>
    <row r="1652" spans="2:63" x14ac:dyDescent="0.2">
      <c r="B1652" s="38"/>
      <c r="AY1652" s="39"/>
      <c r="AZ1652" s="39"/>
      <c r="BA1652" s="39"/>
      <c r="BK1652" s="39"/>
    </row>
    <row r="1653" spans="2:63" x14ac:dyDescent="0.2">
      <c r="B1653" s="38"/>
      <c r="AY1653" s="39"/>
      <c r="AZ1653" s="39"/>
      <c r="BA1653" s="39"/>
      <c r="BK1653" s="39"/>
    </row>
    <row r="1654" spans="2:63" x14ac:dyDescent="0.2">
      <c r="B1654" s="38"/>
      <c r="AY1654" s="39"/>
      <c r="AZ1654" s="39"/>
      <c r="BA1654" s="39"/>
      <c r="BK1654" s="39"/>
    </row>
    <row r="1655" spans="2:63" x14ac:dyDescent="0.2">
      <c r="B1655" s="38"/>
      <c r="AY1655" s="39"/>
      <c r="AZ1655" s="39"/>
      <c r="BA1655" s="39"/>
      <c r="BK1655" s="39"/>
    </row>
    <row r="1656" spans="2:63" x14ac:dyDescent="0.2">
      <c r="B1656" s="38"/>
      <c r="AY1656" s="39"/>
      <c r="AZ1656" s="39"/>
      <c r="BA1656" s="39"/>
      <c r="BK1656" s="39"/>
    </row>
    <row r="1657" spans="2:63" x14ac:dyDescent="0.2">
      <c r="B1657" s="38"/>
      <c r="AY1657" s="39"/>
      <c r="AZ1657" s="39"/>
      <c r="BA1657" s="39"/>
      <c r="BK1657" s="39"/>
    </row>
    <row r="1658" spans="2:63" x14ac:dyDescent="0.2">
      <c r="B1658" s="38"/>
      <c r="AY1658" s="39"/>
      <c r="AZ1658" s="39"/>
      <c r="BA1658" s="39"/>
      <c r="BK1658" s="39"/>
    </row>
    <row r="1659" spans="2:63" x14ac:dyDescent="0.2">
      <c r="B1659" s="38"/>
      <c r="AY1659" s="39"/>
      <c r="AZ1659" s="39"/>
      <c r="BA1659" s="39"/>
      <c r="BK1659" s="39"/>
    </row>
    <row r="1660" spans="2:63" x14ac:dyDescent="0.2">
      <c r="B1660" s="38"/>
      <c r="AY1660" s="39"/>
      <c r="AZ1660" s="39"/>
      <c r="BA1660" s="39"/>
      <c r="BK1660" s="39"/>
    </row>
    <row r="1661" spans="2:63" x14ac:dyDescent="0.2">
      <c r="B1661" s="38"/>
      <c r="AY1661" s="39"/>
      <c r="AZ1661" s="39"/>
      <c r="BA1661" s="39"/>
      <c r="BK1661" s="39"/>
    </row>
    <row r="1662" spans="2:63" x14ac:dyDescent="0.2">
      <c r="B1662" s="38"/>
      <c r="AY1662" s="39"/>
      <c r="AZ1662" s="39"/>
      <c r="BA1662" s="39"/>
      <c r="BK1662" s="39"/>
    </row>
    <row r="1663" spans="2:63" x14ac:dyDescent="0.2">
      <c r="B1663" s="38"/>
      <c r="AY1663" s="39"/>
      <c r="AZ1663" s="39"/>
      <c r="BA1663" s="39"/>
      <c r="BK1663" s="39"/>
    </row>
    <row r="1664" spans="2:63" x14ac:dyDescent="0.2">
      <c r="B1664" s="38"/>
      <c r="AY1664" s="39"/>
      <c r="AZ1664" s="39"/>
      <c r="BA1664" s="39"/>
      <c r="BK1664" s="39"/>
    </row>
    <row r="1665" spans="2:63" x14ac:dyDescent="0.2">
      <c r="B1665" s="38"/>
      <c r="AY1665" s="39"/>
      <c r="AZ1665" s="39"/>
      <c r="BA1665" s="39"/>
      <c r="BK1665" s="39"/>
    </row>
    <row r="1666" spans="2:63" x14ac:dyDescent="0.2">
      <c r="B1666" s="38"/>
      <c r="AY1666" s="39"/>
      <c r="AZ1666" s="39"/>
      <c r="BA1666" s="39"/>
      <c r="BK1666" s="39"/>
    </row>
    <row r="1667" spans="2:63" x14ac:dyDescent="0.2">
      <c r="B1667" s="38"/>
      <c r="AY1667" s="39"/>
      <c r="AZ1667" s="39"/>
      <c r="BA1667" s="39"/>
      <c r="BK1667" s="39"/>
    </row>
    <row r="1668" spans="2:63" x14ac:dyDescent="0.2">
      <c r="B1668" s="38"/>
      <c r="AY1668" s="39"/>
      <c r="AZ1668" s="39"/>
      <c r="BA1668" s="39"/>
      <c r="BK1668" s="39"/>
    </row>
    <row r="1669" spans="2:63" x14ac:dyDescent="0.2">
      <c r="B1669" s="38"/>
      <c r="AY1669" s="39"/>
      <c r="AZ1669" s="39"/>
      <c r="BA1669" s="39"/>
      <c r="BK1669" s="39"/>
    </row>
    <row r="1670" spans="2:63" x14ac:dyDescent="0.2">
      <c r="B1670" s="38"/>
      <c r="AY1670" s="39"/>
      <c r="AZ1670" s="39"/>
      <c r="BA1670" s="39"/>
      <c r="BK1670" s="39"/>
    </row>
    <row r="1671" spans="2:63" x14ac:dyDescent="0.2">
      <c r="B1671" s="38"/>
      <c r="AY1671" s="39"/>
      <c r="AZ1671" s="39"/>
      <c r="BA1671" s="39"/>
      <c r="BK1671" s="39"/>
    </row>
    <row r="1672" spans="2:63" x14ac:dyDescent="0.2">
      <c r="B1672" s="38"/>
      <c r="AY1672" s="39"/>
      <c r="AZ1672" s="39"/>
      <c r="BA1672" s="39"/>
      <c r="BK1672" s="39"/>
    </row>
    <row r="1673" spans="2:63" x14ac:dyDescent="0.2">
      <c r="B1673" s="38"/>
      <c r="AY1673" s="39"/>
      <c r="AZ1673" s="39"/>
      <c r="BA1673" s="39"/>
      <c r="BK1673" s="39"/>
    </row>
    <row r="1674" spans="2:63" x14ac:dyDescent="0.2">
      <c r="B1674" s="38"/>
      <c r="AY1674" s="39"/>
      <c r="AZ1674" s="39"/>
      <c r="BA1674" s="39"/>
      <c r="BK1674" s="39"/>
    </row>
    <row r="1675" spans="2:63" x14ac:dyDescent="0.2">
      <c r="B1675" s="38"/>
      <c r="AY1675" s="39"/>
      <c r="AZ1675" s="39"/>
      <c r="BA1675" s="39"/>
      <c r="BK1675" s="39"/>
    </row>
    <row r="1676" spans="2:63" x14ac:dyDescent="0.2">
      <c r="B1676" s="38"/>
      <c r="AY1676" s="39"/>
      <c r="AZ1676" s="39"/>
      <c r="BA1676" s="39"/>
      <c r="BK1676" s="39"/>
    </row>
    <row r="1677" spans="2:63" x14ac:dyDescent="0.2">
      <c r="B1677" s="38"/>
      <c r="AY1677" s="39"/>
      <c r="AZ1677" s="39"/>
      <c r="BA1677" s="39"/>
      <c r="BK1677" s="39"/>
    </row>
    <row r="1678" spans="2:63" x14ac:dyDescent="0.2">
      <c r="B1678" s="38"/>
      <c r="AY1678" s="39"/>
      <c r="AZ1678" s="39"/>
      <c r="BA1678" s="39"/>
      <c r="BK1678" s="39"/>
    </row>
    <row r="1679" spans="2:63" x14ac:dyDescent="0.2">
      <c r="B1679" s="38"/>
      <c r="AY1679" s="39"/>
      <c r="AZ1679" s="39"/>
      <c r="BA1679" s="39"/>
      <c r="BK1679" s="39"/>
    </row>
    <row r="1680" spans="2:63" x14ac:dyDescent="0.2">
      <c r="B1680" s="38"/>
      <c r="AY1680" s="39"/>
      <c r="AZ1680" s="39"/>
      <c r="BA1680" s="39"/>
      <c r="BK1680" s="39"/>
    </row>
    <row r="1681" spans="2:63" x14ac:dyDescent="0.2">
      <c r="B1681" s="38"/>
      <c r="AY1681" s="39"/>
      <c r="AZ1681" s="39"/>
      <c r="BA1681" s="39"/>
      <c r="BK1681" s="39"/>
    </row>
    <row r="1682" spans="2:63" x14ac:dyDescent="0.2">
      <c r="B1682" s="38"/>
      <c r="AY1682" s="39"/>
      <c r="AZ1682" s="39"/>
      <c r="BA1682" s="39"/>
      <c r="BK1682" s="39"/>
    </row>
    <row r="1683" spans="2:63" x14ac:dyDescent="0.2">
      <c r="B1683" s="38"/>
      <c r="AY1683" s="39"/>
      <c r="AZ1683" s="39"/>
      <c r="BA1683" s="39"/>
      <c r="BK1683" s="39"/>
    </row>
    <row r="1684" spans="2:63" x14ac:dyDescent="0.2">
      <c r="B1684" s="38"/>
      <c r="AY1684" s="39"/>
      <c r="AZ1684" s="39"/>
      <c r="BA1684" s="39"/>
      <c r="BK1684" s="39"/>
    </row>
    <row r="1685" spans="2:63" x14ac:dyDescent="0.2">
      <c r="B1685" s="38"/>
      <c r="AY1685" s="39"/>
      <c r="AZ1685" s="39"/>
      <c r="BA1685" s="39"/>
      <c r="BK1685" s="39"/>
    </row>
    <row r="1686" spans="2:63" x14ac:dyDescent="0.2">
      <c r="B1686" s="38"/>
      <c r="AY1686" s="39"/>
      <c r="AZ1686" s="39"/>
      <c r="BA1686" s="39"/>
      <c r="BK1686" s="39"/>
    </row>
    <row r="1687" spans="2:63" x14ac:dyDescent="0.2">
      <c r="B1687" s="38"/>
      <c r="AY1687" s="39"/>
      <c r="AZ1687" s="39"/>
      <c r="BA1687" s="39"/>
      <c r="BK1687" s="39"/>
    </row>
    <row r="1688" spans="2:63" x14ac:dyDescent="0.2">
      <c r="B1688" s="38"/>
      <c r="AY1688" s="39"/>
      <c r="AZ1688" s="39"/>
      <c r="BA1688" s="39"/>
      <c r="BK1688" s="39"/>
    </row>
    <row r="1689" spans="2:63" x14ac:dyDescent="0.2">
      <c r="B1689" s="38"/>
      <c r="AY1689" s="39"/>
      <c r="AZ1689" s="39"/>
      <c r="BA1689" s="39"/>
      <c r="BK1689" s="39"/>
    </row>
    <row r="1690" spans="2:63" x14ac:dyDescent="0.2">
      <c r="B1690" s="38"/>
      <c r="AY1690" s="39"/>
      <c r="AZ1690" s="39"/>
      <c r="BA1690" s="39"/>
      <c r="BK1690" s="39"/>
    </row>
    <row r="1691" spans="2:63" x14ac:dyDescent="0.2">
      <c r="B1691" s="38"/>
      <c r="AY1691" s="39"/>
      <c r="AZ1691" s="39"/>
      <c r="BA1691" s="39"/>
      <c r="BK1691" s="39"/>
    </row>
    <row r="1692" spans="2:63" x14ac:dyDescent="0.2">
      <c r="B1692" s="38"/>
      <c r="AY1692" s="39"/>
      <c r="AZ1692" s="39"/>
      <c r="BA1692" s="39"/>
      <c r="BK1692" s="39"/>
    </row>
    <row r="1693" spans="2:63" x14ac:dyDescent="0.2">
      <c r="B1693" s="38"/>
      <c r="AY1693" s="39"/>
      <c r="AZ1693" s="39"/>
      <c r="BA1693" s="39"/>
      <c r="BK1693" s="39"/>
    </row>
    <row r="1694" spans="2:63" x14ac:dyDescent="0.2">
      <c r="B1694" s="38"/>
      <c r="AY1694" s="39"/>
      <c r="AZ1694" s="39"/>
      <c r="BA1694" s="39"/>
      <c r="BK1694" s="39"/>
    </row>
    <row r="1695" spans="2:63" x14ac:dyDescent="0.2">
      <c r="B1695" s="38"/>
      <c r="AY1695" s="39"/>
      <c r="AZ1695" s="39"/>
      <c r="BA1695" s="39"/>
      <c r="BK1695" s="39"/>
    </row>
    <row r="1696" spans="2:63" x14ac:dyDescent="0.2">
      <c r="B1696" s="38"/>
      <c r="AY1696" s="39"/>
      <c r="AZ1696" s="39"/>
      <c r="BA1696" s="39"/>
      <c r="BK1696" s="39"/>
    </row>
    <row r="1697" spans="2:63" x14ac:dyDescent="0.2">
      <c r="B1697" s="38"/>
      <c r="AY1697" s="39"/>
      <c r="AZ1697" s="39"/>
      <c r="BA1697" s="39"/>
      <c r="BK1697" s="39"/>
    </row>
    <row r="1698" spans="2:63" x14ac:dyDescent="0.2">
      <c r="B1698" s="38"/>
      <c r="AY1698" s="39"/>
      <c r="AZ1698" s="39"/>
      <c r="BA1698" s="39"/>
      <c r="BK1698" s="39"/>
    </row>
    <row r="1699" spans="2:63" x14ac:dyDescent="0.2">
      <c r="B1699" s="38"/>
      <c r="AY1699" s="39"/>
      <c r="AZ1699" s="39"/>
      <c r="BA1699" s="39"/>
      <c r="BK1699" s="39"/>
    </row>
    <row r="1700" spans="2:63" x14ac:dyDescent="0.2">
      <c r="B1700" s="38"/>
      <c r="AY1700" s="39"/>
      <c r="AZ1700" s="39"/>
      <c r="BA1700" s="39"/>
      <c r="BK1700" s="39"/>
    </row>
    <row r="1701" spans="2:63" x14ac:dyDescent="0.2">
      <c r="B1701" s="38"/>
      <c r="AY1701" s="39"/>
      <c r="AZ1701" s="39"/>
      <c r="BA1701" s="39"/>
      <c r="BK1701" s="39"/>
    </row>
    <row r="1702" spans="2:63" x14ac:dyDescent="0.2">
      <c r="B1702" s="38"/>
      <c r="AY1702" s="39"/>
      <c r="AZ1702" s="39"/>
      <c r="BA1702" s="39"/>
      <c r="BK1702" s="39"/>
    </row>
    <row r="1703" spans="2:63" x14ac:dyDescent="0.2">
      <c r="B1703" s="38"/>
      <c r="AY1703" s="39"/>
      <c r="AZ1703" s="39"/>
      <c r="BA1703" s="39"/>
      <c r="BK1703" s="39"/>
    </row>
    <row r="1704" spans="2:63" x14ac:dyDescent="0.2">
      <c r="B1704" s="38"/>
      <c r="AY1704" s="39"/>
      <c r="AZ1704" s="39"/>
      <c r="BA1704" s="39"/>
      <c r="BK1704" s="39"/>
    </row>
    <row r="1705" spans="2:63" x14ac:dyDescent="0.2">
      <c r="B1705" s="38"/>
      <c r="AY1705" s="39"/>
      <c r="AZ1705" s="39"/>
      <c r="BA1705" s="39"/>
      <c r="BK1705" s="39"/>
    </row>
    <row r="1706" spans="2:63" x14ac:dyDescent="0.2">
      <c r="B1706" s="38"/>
      <c r="AY1706" s="39"/>
      <c r="AZ1706" s="39"/>
      <c r="BA1706" s="39"/>
      <c r="BK1706" s="39"/>
    </row>
    <row r="1707" spans="2:63" x14ac:dyDescent="0.2">
      <c r="B1707" s="38"/>
      <c r="AY1707" s="39"/>
      <c r="AZ1707" s="39"/>
      <c r="BA1707" s="39"/>
      <c r="BK1707" s="39"/>
    </row>
    <row r="1708" spans="2:63" x14ac:dyDescent="0.2">
      <c r="B1708" s="38"/>
      <c r="AY1708" s="39"/>
      <c r="AZ1708" s="39"/>
      <c r="BA1708" s="39"/>
      <c r="BK1708" s="39"/>
    </row>
    <row r="1709" spans="2:63" x14ac:dyDescent="0.2">
      <c r="B1709" s="38"/>
      <c r="AY1709" s="39"/>
      <c r="AZ1709" s="39"/>
      <c r="BA1709" s="39"/>
      <c r="BK1709" s="39"/>
    </row>
    <row r="1710" spans="2:63" x14ac:dyDescent="0.2">
      <c r="B1710" s="38"/>
      <c r="AY1710" s="39"/>
      <c r="AZ1710" s="39"/>
      <c r="BA1710" s="39"/>
      <c r="BK1710" s="39"/>
    </row>
    <row r="1711" spans="2:63" x14ac:dyDescent="0.2">
      <c r="B1711" s="38"/>
      <c r="AY1711" s="39"/>
      <c r="AZ1711" s="39"/>
      <c r="BA1711" s="39"/>
      <c r="BK1711" s="39"/>
    </row>
    <row r="1712" spans="2:63" x14ac:dyDescent="0.2">
      <c r="B1712" s="38"/>
      <c r="AY1712" s="39"/>
      <c r="AZ1712" s="39"/>
      <c r="BA1712" s="39"/>
      <c r="BK1712" s="39"/>
    </row>
    <row r="1713" spans="2:63" x14ac:dyDescent="0.2">
      <c r="B1713" s="38"/>
      <c r="AY1713" s="39"/>
      <c r="AZ1713" s="39"/>
      <c r="BA1713" s="39"/>
      <c r="BK1713" s="39"/>
    </row>
    <row r="1714" spans="2:63" x14ac:dyDescent="0.2">
      <c r="B1714" s="38"/>
      <c r="AY1714" s="39"/>
      <c r="AZ1714" s="39"/>
      <c r="BA1714" s="39"/>
      <c r="BK1714" s="39"/>
    </row>
    <row r="1715" spans="2:63" x14ac:dyDescent="0.2">
      <c r="B1715" s="38"/>
      <c r="AY1715" s="39"/>
      <c r="AZ1715" s="39"/>
      <c r="BA1715" s="39"/>
      <c r="BK1715" s="39"/>
    </row>
    <row r="1716" spans="2:63" x14ac:dyDescent="0.2">
      <c r="B1716" s="38"/>
      <c r="AY1716" s="39"/>
      <c r="AZ1716" s="39"/>
      <c r="BA1716" s="39"/>
      <c r="BK1716" s="39"/>
    </row>
    <row r="1717" spans="2:63" x14ac:dyDescent="0.2">
      <c r="B1717" s="38"/>
      <c r="AY1717" s="39"/>
      <c r="AZ1717" s="39"/>
      <c r="BA1717" s="39"/>
      <c r="BK1717" s="39"/>
    </row>
    <row r="1718" spans="2:63" x14ac:dyDescent="0.2">
      <c r="B1718" s="38"/>
      <c r="AY1718" s="39"/>
      <c r="AZ1718" s="39"/>
      <c r="BA1718" s="39"/>
      <c r="BK1718" s="39"/>
    </row>
    <row r="1719" spans="2:63" x14ac:dyDescent="0.2">
      <c r="B1719" s="38"/>
      <c r="AY1719" s="39"/>
      <c r="AZ1719" s="39"/>
      <c r="BA1719" s="39"/>
      <c r="BK1719" s="39"/>
    </row>
    <row r="1720" spans="2:63" x14ac:dyDescent="0.2">
      <c r="B1720" s="38"/>
      <c r="AY1720" s="39"/>
      <c r="AZ1720" s="39"/>
      <c r="BA1720" s="39"/>
      <c r="BK1720" s="39"/>
    </row>
    <row r="1721" spans="2:63" x14ac:dyDescent="0.2">
      <c r="B1721" s="38"/>
      <c r="AY1721" s="39"/>
      <c r="AZ1721" s="39"/>
      <c r="BA1721" s="39"/>
      <c r="BK1721" s="39"/>
    </row>
    <row r="1722" spans="2:63" x14ac:dyDescent="0.2">
      <c r="B1722" s="38"/>
      <c r="AY1722" s="39"/>
      <c r="AZ1722" s="39"/>
      <c r="BA1722" s="39"/>
      <c r="BK1722" s="39"/>
    </row>
    <row r="1723" spans="2:63" x14ac:dyDescent="0.2">
      <c r="B1723" s="38"/>
      <c r="AY1723" s="39"/>
      <c r="AZ1723" s="39"/>
      <c r="BA1723" s="39"/>
      <c r="BK1723" s="39"/>
    </row>
    <row r="1724" spans="2:63" x14ac:dyDescent="0.2">
      <c r="B1724" s="38"/>
      <c r="AY1724" s="39"/>
      <c r="AZ1724" s="39"/>
      <c r="BA1724" s="39"/>
      <c r="BK1724" s="39"/>
    </row>
    <row r="1725" spans="2:63" x14ac:dyDescent="0.2">
      <c r="B1725" s="38"/>
      <c r="AY1725" s="39"/>
      <c r="AZ1725" s="39"/>
      <c r="BA1725" s="39"/>
      <c r="BK1725" s="39"/>
    </row>
    <row r="1726" spans="2:63" x14ac:dyDescent="0.2">
      <c r="B1726" s="38"/>
      <c r="AY1726" s="39"/>
      <c r="AZ1726" s="39"/>
      <c r="BA1726" s="39"/>
      <c r="BK1726" s="39"/>
    </row>
    <row r="1727" spans="2:63" x14ac:dyDescent="0.2">
      <c r="B1727" s="38"/>
      <c r="AY1727" s="39"/>
      <c r="AZ1727" s="39"/>
      <c r="BA1727" s="39"/>
      <c r="BK1727" s="39"/>
    </row>
    <row r="1728" spans="2:63" x14ac:dyDescent="0.2">
      <c r="B1728" s="38"/>
      <c r="AY1728" s="39"/>
      <c r="AZ1728" s="39"/>
      <c r="BA1728" s="39"/>
      <c r="BK1728" s="39"/>
    </row>
    <row r="1729" spans="2:63" x14ac:dyDescent="0.2">
      <c r="B1729" s="38"/>
      <c r="AY1729" s="39"/>
      <c r="AZ1729" s="39"/>
      <c r="BA1729" s="39"/>
      <c r="BK1729" s="39"/>
    </row>
    <row r="1730" spans="2:63" x14ac:dyDescent="0.2">
      <c r="B1730" s="38"/>
      <c r="AY1730" s="39"/>
      <c r="AZ1730" s="39"/>
      <c r="BA1730" s="39"/>
      <c r="BK1730" s="39"/>
    </row>
    <row r="1731" spans="2:63" x14ac:dyDescent="0.2">
      <c r="B1731" s="38"/>
      <c r="AY1731" s="39"/>
      <c r="AZ1731" s="39"/>
      <c r="BA1731" s="39"/>
      <c r="BK1731" s="39"/>
    </row>
    <row r="1732" spans="2:63" x14ac:dyDescent="0.2">
      <c r="B1732" s="38"/>
      <c r="AY1732" s="39"/>
      <c r="AZ1732" s="39"/>
      <c r="BA1732" s="39"/>
      <c r="BK1732" s="39"/>
    </row>
    <row r="1733" spans="2:63" x14ac:dyDescent="0.2">
      <c r="B1733" s="38"/>
      <c r="AY1733" s="39"/>
      <c r="AZ1733" s="39"/>
      <c r="BA1733" s="39"/>
      <c r="BK1733" s="39"/>
    </row>
    <row r="1734" spans="2:63" x14ac:dyDescent="0.2">
      <c r="B1734" s="38"/>
      <c r="AY1734" s="39"/>
      <c r="AZ1734" s="39"/>
      <c r="BA1734" s="39"/>
      <c r="BK1734" s="39"/>
    </row>
    <row r="1735" spans="2:63" x14ac:dyDescent="0.2">
      <c r="B1735" s="38"/>
      <c r="AY1735" s="39"/>
      <c r="AZ1735" s="39"/>
      <c r="BA1735" s="39"/>
      <c r="BK1735" s="39"/>
    </row>
    <row r="1736" spans="2:63" x14ac:dyDescent="0.2">
      <c r="B1736" s="38"/>
      <c r="AY1736" s="39"/>
      <c r="AZ1736" s="39"/>
      <c r="BA1736" s="39"/>
      <c r="BK1736" s="39"/>
    </row>
    <row r="1737" spans="2:63" x14ac:dyDescent="0.2">
      <c r="B1737" s="38"/>
      <c r="AY1737" s="39"/>
      <c r="AZ1737" s="39"/>
      <c r="BA1737" s="39"/>
      <c r="BK1737" s="39"/>
    </row>
    <row r="1738" spans="2:63" x14ac:dyDescent="0.2">
      <c r="B1738" s="38"/>
      <c r="AY1738" s="39"/>
      <c r="AZ1738" s="39"/>
      <c r="BA1738" s="39"/>
      <c r="BK1738" s="39"/>
    </row>
    <row r="1739" spans="2:63" x14ac:dyDescent="0.2">
      <c r="B1739" s="38"/>
      <c r="AY1739" s="39"/>
      <c r="AZ1739" s="39"/>
      <c r="BA1739" s="39"/>
      <c r="BK1739" s="39"/>
    </row>
    <row r="1740" spans="2:63" x14ac:dyDescent="0.2">
      <c r="B1740" s="38"/>
      <c r="AY1740" s="39"/>
      <c r="AZ1740" s="39"/>
      <c r="BA1740" s="39"/>
      <c r="BK1740" s="39"/>
    </row>
    <row r="1741" spans="2:63" x14ac:dyDescent="0.2">
      <c r="B1741" s="38"/>
      <c r="AY1741" s="39"/>
      <c r="AZ1741" s="39"/>
      <c r="BA1741" s="39"/>
      <c r="BK1741" s="39"/>
    </row>
    <row r="1742" spans="2:63" x14ac:dyDescent="0.2">
      <c r="B1742" s="38"/>
      <c r="AY1742" s="39"/>
      <c r="AZ1742" s="39"/>
      <c r="BA1742" s="39"/>
      <c r="BK1742" s="39"/>
    </row>
    <row r="1743" spans="2:63" x14ac:dyDescent="0.2">
      <c r="B1743" s="38"/>
      <c r="AY1743" s="39"/>
      <c r="AZ1743" s="39"/>
      <c r="BA1743" s="39"/>
      <c r="BK1743" s="39"/>
    </row>
    <row r="1744" spans="2:63" x14ac:dyDescent="0.2">
      <c r="B1744" s="38"/>
      <c r="AY1744" s="39"/>
      <c r="AZ1744" s="39"/>
      <c r="BA1744" s="39"/>
      <c r="BK1744" s="39"/>
    </row>
    <row r="1745" spans="2:63" x14ac:dyDescent="0.2">
      <c r="B1745" s="38"/>
      <c r="AY1745" s="39"/>
      <c r="AZ1745" s="39"/>
      <c r="BA1745" s="39"/>
      <c r="BK1745" s="39"/>
    </row>
    <row r="1746" spans="2:63" x14ac:dyDescent="0.2">
      <c r="B1746" s="38"/>
      <c r="AY1746" s="39"/>
      <c r="AZ1746" s="39"/>
      <c r="BA1746" s="39"/>
      <c r="BK1746" s="39"/>
    </row>
    <row r="1747" spans="2:63" x14ac:dyDescent="0.2">
      <c r="B1747" s="38"/>
      <c r="AY1747" s="39"/>
      <c r="AZ1747" s="39"/>
      <c r="BA1747" s="39"/>
      <c r="BK1747" s="39"/>
    </row>
    <row r="1748" spans="2:63" x14ac:dyDescent="0.2">
      <c r="B1748" s="38"/>
      <c r="AY1748" s="39"/>
      <c r="AZ1748" s="39"/>
      <c r="BA1748" s="39"/>
      <c r="BK1748" s="39"/>
    </row>
    <row r="1749" spans="2:63" x14ac:dyDescent="0.2">
      <c r="B1749" s="38"/>
      <c r="AY1749" s="39"/>
      <c r="AZ1749" s="39"/>
      <c r="BA1749" s="39"/>
      <c r="BK1749" s="39"/>
    </row>
    <row r="1750" spans="2:63" x14ac:dyDescent="0.2">
      <c r="B1750" s="38"/>
      <c r="AY1750" s="39"/>
      <c r="AZ1750" s="39"/>
      <c r="BA1750" s="39"/>
      <c r="BK1750" s="39"/>
    </row>
    <row r="1751" spans="2:63" x14ac:dyDescent="0.2">
      <c r="B1751" s="38"/>
      <c r="AY1751" s="39"/>
      <c r="AZ1751" s="39"/>
      <c r="BA1751" s="39"/>
      <c r="BK1751" s="39"/>
    </row>
    <row r="1752" spans="2:63" x14ac:dyDescent="0.2">
      <c r="B1752" s="38"/>
      <c r="AY1752" s="39"/>
      <c r="AZ1752" s="39"/>
      <c r="BA1752" s="39"/>
      <c r="BK1752" s="39"/>
    </row>
    <row r="1753" spans="2:63" x14ac:dyDescent="0.2">
      <c r="B1753" s="38"/>
      <c r="AY1753" s="39"/>
      <c r="AZ1753" s="39"/>
      <c r="BA1753" s="39"/>
      <c r="BK1753" s="39"/>
    </row>
    <row r="1754" spans="2:63" x14ac:dyDescent="0.2">
      <c r="B1754" s="38"/>
      <c r="AY1754" s="39"/>
      <c r="AZ1754" s="39"/>
      <c r="BA1754" s="39"/>
      <c r="BK1754" s="39"/>
    </row>
    <row r="1755" spans="2:63" x14ac:dyDescent="0.2">
      <c r="B1755" s="38"/>
      <c r="AY1755" s="39"/>
      <c r="AZ1755" s="39"/>
      <c r="BA1755" s="39"/>
      <c r="BK1755" s="39"/>
    </row>
    <row r="1756" spans="2:63" x14ac:dyDescent="0.2">
      <c r="B1756" s="38"/>
      <c r="AY1756" s="39"/>
      <c r="AZ1756" s="39"/>
      <c r="BA1756" s="39"/>
      <c r="BK1756" s="39"/>
    </row>
    <row r="1757" spans="2:63" x14ac:dyDescent="0.2">
      <c r="B1757" s="38"/>
      <c r="AY1757" s="39"/>
      <c r="AZ1757" s="39"/>
      <c r="BA1757" s="39"/>
      <c r="BK1757" s="39"/>
    </row>
    <row r="1758" spans="2:63" x14ac:dyDescent="0.2">
      <c r="B1758" s="38"/>
      <c r="AY1758" s="39"/>
      <c r="AZ1758" s="39"/>
      <c r="BA1758" s="39"/>
      <c r="BK1758" s="39"/>
    </row>
    <row r="1759" spans="2:63" x14ac:dyDescent="0.2">
      <c r="B1759" s="38"/>
      <c r="AY1759" s="39"/>
      <c r="AZ1759" s="39"/>
      <c r="BA1759" s="39"/>
      <c r="BK1759" s="39"/>
    </row>
    <row r="1760" spans="2:63" x14ac:dyDescent="0.2">
      <c r="B1760" s="38"/>
      <c r="AY1760" s="39"/>
      <c r="AZ1760" s="39"/>
      <c r="BA1760" s="39"/>
      <c r="BK1760" s="39"/>
    </row>
    <row r="1761" spans="2:63" x14ac:dyDescent="0.2">
      <c r="B1761" s="38"/>
      <c r="AY1761" s="39"/>
      <c r="AZ1761" s="39"/>
      <c r="BA1761" s="39"/>
      <c r="BK1761" s="39"/>
    </row>
    <row r="1762" spans="2:63" x14ac:dyDescent="0.2">
      <c r="B1762" s="38"/>
      <c r="AY1762" s="39"/>
      <c r="AZ1762" s="39"/>
      <c r="BA1762" s="39"/>
      <c r="BK1762" s="39"/>
    </row>
    <row r="1763" spans="2:63" x14ac:dyDescent="0.2">
      <c r="B1763" s="38"/>
      <c r="AY1763" s="39"/>
      <c r="AZ1763" s="39"/>
      <c r="BA1763" s="39"/>
      <c r="BK1763" s="39"/>
    </row>
    <row r="1764" spans="2:63" x14ac:dyDescent="0.2">
      <c r="B1764" s="38"/>
      <c r="AY1764" s="39"/>
      <c r="AZ1764" s="39"/>
      <c r="BA1764" s="39"/>
      <c r="BK1764" s="39"/>
    </row>
    <row r="1765" spans="2:63" x14ac:dyDescent="0.2">
      <c r="B1765" s="38"/>
      <c r="AY1765" s="39"/>
      <c r="AZ1765" s="39"/>
      <c r="BA1765" s="39"/>
      <c r="BK1765" s="39"/>
    </row>
    <row r="1766" spans="2:63" x14ac:dyDescent="0.2">
      <c r="B1766" s="38"/>
      <c r="AY1766" s="39"/>
      <c r="AZ1766" s="39"/>
      <c r="BA1766" s="39"/>
      <c r="BK1766" s="39"/>
    </row>
    <row r="1767" spans="2:63" x14ac:dyDescent="0.2">
      <c r="B1767" s="38"/>
      <c r="AY1767" s="39"/>
      <c r="AZ1767" s="39"/>
      <c r="BA1767" s="39"/>
      <c r="BK1767" s="39"/>
    </row>
    <row r="1768" spans="2:63" x14ac:dyDescent="0.2">
      <c r="B1768" s="38"/>
      <c r="AY1768" s="39"/>
      <c r="AZ1768" s="39"/>
      <c r="BA1768" s="39"/>
      <c r="BK1768" s="39"/>
    </row>
    <row r="1769" spans="2:63" x14ac:dyDescent="0.2">
      <c r="B1769" s="38"/>
      <c r="AY1769" s="39"/>
      <c r="AZ1769" s="39"/>
      <c r="BA1769" s="39"/>
      <c r="BK1769" s="39"/>
    </row>
    <row r="1770" spans="2:63" x14ac:dyDescent="0.2">
      <c r="B1770" s="38"/>
      <c r="AY1770" s="39"/>
      <c r="AZ1770" s="39"/>
      <c r="BA1770" s="39"/>
      <c r="BK1770" s="39"/>
    </row>
    <row r="1771" spans="2:63" x14ac:dyDescent="0.2">
      <c r="B1771" s="38"/>
      <c r="AY1771" s="39"/>
      <c r="AZ1771" s="39"/>
      <c r="BA1771" s="39"/>
      <c r="BK1771" s="39"/>
    </row>
    <row r="1772" spans="2:63" x14ac:dyDescent="0.2">
      <c r="B1772" s="38"/>
      <c r="AY1772" s="39"/>
      <c r="AZ1772" s="39"/>
      <c r="BA1772" s="39"/>
      <c r="BK1772" s="39"/>
    </row>
    <row r="1773" spans="2:63" x14ac:dyDescent="0.2">
      <c r="B1773" s="38"/>
      <c r="AY1773" s="39"/>
      <c r="AZ1773" s="39"/>
      <c r="BA1773" s="39"/>
      <c r="BK1773" s="39"/>
    </row>
    <row r="1774" spans="2:63" x14ac:dyDescent="0.2">
      <c r="B1774" s="38"/>
      <c r="AY1774" s="39"/>
      <c r="AZ1774" s="39"/>
      <c r="BA1774" s="39"/>
      <c r="BK1774" s="39"/>
    </row>
    <row r="1775" spans="2:63" x14ac:dyDescent="0.2">
      <c r="B1775" s="38"/>
      <c r="AY1775" s="39"/>
      <c r="AZ1775" s="39"/>
      <c r="BA1775" s="39"/>
      <c r="BK1775" s="39"/>
    </row>
    <row r="1776" spans="2:63" x14ac:dyDescent="0.2">
      <c r="B1776" s="38"/>
      <c r="AY1776" s="39"/>
      <c r="AZ1776" s="39"/>
      <c r="BA1776" s="39"/>
      <c r="BK1776" s="39"/>
    </row>
    <row r="1777" spans="2:63" x14ac:dyDescent="0.2">
      <c r="B1777" s="38"/>
      <c r="AY1777" s="39"/>
      <c r="AZ1777" s="39"/>
      <c r="BA1777" s="39"/>
      <c r="BK1777" s="39"/>
    </row>
    <row r="1778" spans="2:63" x14ac:dyDescent="0.2">
      <c r="B1778" s="38"/>
      <c r="AY1778" s="39"/>
      <c r="AZ1778" s="39"/>
      <c r="BA1778" s="39"/>
      <c r="BK1778" s="39"/>
    </row>
    <row r="1779" spans="2:63" x14ac:dyDescent="0.2">
      <c r="B1779" s="38"/>
      <c r="AY1779" s="39"/>
      <c r="AZ1779" s="39"/>
      <c r="BA1779" s="39"/>
      <c r="BK1779" s="39"/>
    </row>
    <row r="1780" spans="2:63" x14ac:dyDescent="0.2">
      <c r="B1780" s="38"/>
      <c r="AY1780" s="39"/>
      <c r="AZ1780" s="39"/>
      <c r="BA1780" s="39"/>
      <c r="BK1780" s="39"/>
    </row>
    <row r="1781" spans="2:63" x14ac:dyDescent="0.2">
      <c r="B1781" s="38"/>
      <c r="AY1781" s="39"/>
      <c r="AZ1781" s="39"/>
      <c r="BA1781" s="39"/>
      <c r="BK1781" s="39"/>
    </row>
    <row r="1782" spans="2:63" x14ac:dyDescent="0.2">
      <c r="B1782" s="38"/>
      <c r="AY1782" s="39"/>
      <c r="AZ1782" s="39"/>
      <c r="BA1782" s="39"/>
      <c r="BK1782" s="39"/>
    </row>
    <row r="1783" spans="2:63" x14ac:dyDescent="0.2">
      <c r="B1783" s="38"/>
      <c r="AY1783" s="39"/>
      <c r="AZ1783" s="39"/>
      <c r="BA1783" s="39"/>
      <c r="BK1783" s="39"/>
    </row>
    <row r="1784" spans="2:63" x14ac:dyDescent="0.2">
      <c r="B1784" s="38"/>
      <c r="AY1784" s="39"/>
      <c r="AZ1784" s="39"/>
      <c r="BA1784" s="39"/>
      <c r="BK1784" s="39"/>
    </row>
    <row r="1785" spans="2:63" x14ac:dyDescent="0.2">
      <c r="B1785" s="38"/>
      <c r="AY1785" s="39"/>
      <c r="AZ1785" s="39"/>
      <c r="BA1785" s="39"/>
      <c r="BK1785" s="39"/>
    </row>
    <row r="1786" spans="2:63" x14ac:dyDescent="0.2">
      <c r="B1786" s="38"/>
      <c r="AY1786" s="39"/>
      <c r="AZ1786" s="39"/>
      <c r="BA1786" s="39"/>
      <c r="BK1786" s="39"/>
    </row>
    <row r="1787" spans="2:63" x14ac:dyDescent="0.2">
      <c r="B1787" s="38"/>
      <c r="AY1787" s="39"/>
      <c r="AZ1787" s="39"/>
      <c r="BA1787" s="39"/>
      <c r="BK1787" s="39"/>
    </row>
    <row r="1788" spans="2:63" x14ac:dyDescent="0.2">
      <c r="B1788" s="38"/>
      <c r="AY1788" s="39"/>
      <c r="AZ1788" s="39"/>
      <c r="BA1788" s="39"/>
      <c r="BK1788" s="39"/>
    </row>
    <row r="1789" spans="2:63" x14ac:dyDescent="0.2">
      <c r="B1789" s="38"/>
      <c r="AY1789" s="39"/>
      <c r="AZ1789" s="39"/>
      <c r="BA1789" s="39"/>
      <c r="BK1789" s="39"/>
    </row>
    <row r="1790" spans="2:63" x14ac:dyDescent="0.2">
      <c r="B1790" s="38"/>
      <c r="AY1790" s="39"/>
      <c r="AZ1790" s="39"/>
      <c r="BA1790" s="39"/>
      <c r="BK1790" s="39"/>
    </row>
    <row r="1791" spans="2:63" x14ac:dyDescent="0.2">
      <c r="B1791" s="38"/>
      <c r="AY1791" s="39"/>
      <c r="AZ1791" s="39"/>
      <c r="BA1791" s="39"/>
      <c r="BK1791" s="39"/>
    </row>
    <row r="1792" spans="2:63" x14ac:dyDescent="0.2">
      <c r="B1792" s="38"/>
      <c r="AY1792" s="39"/>
      <c r="AZ1792" s="39"/>
      <c r="BA1792" s="39"/>
      <c r="BK1792" s="39"/>
    </row>
    <row r="1793" spans="2:63" x14ac:dyDescent="0.2">
      <c r="B1793" s="38"/>
      <c r="AY1793" s="39"/>
      <c r="AZ1793" s="39"/>
      <c r="BA1793" s="39"/>
      <c r="BK1793" s="39"/>
    </row>
    <row r="1794" spans="2:63" x14ac:dyDescent="0.2">
      <c r="B1794" s="38"/>
      <c r="AY1794" s="39"/>
      <c r="AZ1794" s="39"/>
      <c r="BA1794" s="39"/>
      <c r="BK1794" s="39"/>
    </row>
    <row r="1795" spans="2:63" x14ac:dyDescent="0.2">
      <c r="B1795" s="38"/>
      <c r="AY1795" s="39"/>
      <c r="AZ1795" s="39"/>
      <c r="BA1795" s="39"/>
      <c r="BK1795" s="39"/>
    </row>
    <row r="1796" spans="2:63" x14ac:dyDescent="0.2">
      <c r="B1796" s="38"/>
      <c r="AY1796" s="39"/>
      <c r="AZ1796" s="39"/>
      <c r="BA1796" s="39"/>
      <c r="BK1796" s="39"/>
    </row>
    <row r="1797" spans="2:63" x14ac:dyDescent="0.2">
      <c r="B1797" s="38"/>
      <c r="AY1797" s="39"/>
      <c r="AZ1797" s="39"/>
      <c r="BA1797" s="39"/>
      <c r="BK1797" s="39"/>
    </row>
    <row r="1798" spans="2:63" x14ac:dyDescent="0.2">
      <c r="B1798" s="38"/>
      <c r="AY1798" s="39"/>
      <c r="AZ1798" s="39"/>
      <c r="BA1798" s="39"/>
      <c r="BK1798" s="39"/>
    </row>
    <row r="1799" spans="2:63" x14ac:dyDescent="0.2">
      <c r="B1799" s="38"/>
      <c r="AY1799" s="39"/>
      <c r="AZ1799" s="39"/>
      <c r="BA1799" s="39"/>
      <c r="BK1799" s="39"/>
    </row>
    <row r="1800" spans="2:63" x14ac:dyDescent="0.2">
      <c r="B1800" s="38"/>
      <c r="AY1800" s="39"/>
      <c r="AZ1800" s="39"/>
      <c r="BA1800" s="39"/>
      <c r="BK1800" s="39"/>
    </row>
    <row r="1801" spans="2:63" x14ac:dyDescent="0.2">
      <c r="B1801" s="38"/>
      <c r="AY1801" s="39"/>
      <c r="AZ1801" s="39"/>
      <c r="BA1801" s="39"/>
      <c r="BK1801" s="39"/>
    </row>
    <row r="1802" spans="2:63" x14ac:dyDescent="0.2">
      <c r="B1802" s="38"/>
      <c r="AY1802" s="39"/>
      <c r="AZ1802" s="39"/>
      <c r="BA1802" s="39"/>
      <c r="BK1802" s="39"/>
    </row>
    <row r="1803" spans="2:63" x14ac:dyDescent="0.2">
      <c r="B1803" s="38"/>
      <c r="AY1803" s="39"/>
      <c r="AZ1803" s="39"/>
      <c r="BA1803" s="39"/>
      <c r="BK1803" s="39"/>
    </row>
    <row r="1804" spans="2:63" x14ac:dyDescent="0.2">
      <c r="B1804" s="38"/>
      <c r="AY1804" s="39"/>
      <c r="AZ1804" s="39"/>
      <c r="BA1804" s="39"/>
      <c r="BK1804" s="39"/>
    </row>
    <row r="1805" spans="2:63" x14ac:dyDescent="0.2">
      <c r="B1805" s="38"/>
      <c r="AY1805" s="39"/>
      <c r="AZ1805" s="39"/>
      <c r="BA1805" s="39"/>
      <c r="BK1805" s="39"/>
    </row>
    <row r="1806" spans="2:63" x14ac:dyDescent="0.2">
      <c r="B1806" s="38"/>
      <c r="AY1806" s="39"/>
      <c r="AZ1806" s="39"/>
      <c r="BA1806" s="39"/>
      <c r="BK1806" s="39"/>
    </row>
    <row r="1807" spans="2:63" x14ac:dyDescent="0.2">
      <c r="B1807" s="38"/>
      <c r="AY1807" s="39"/>
      <c r="AZ1807" s="39"/>
      <c r="BA1807" s="39"/>
      <c r="BK1807" s="39"/>
    </row>
    <row r="1808" spans="2:63" x14ac:dyDescent="0.2">
      <c r="B1808" s="38"/>
      <c r="AY1808" s="39"/>
      <c r="AZ1808" s="39"/>
      <c r="BA1808" s="39"/>
      <c r="BK1808" s="39"/>
    </row>
    <row r="1809" spans="2:63" x14ac:dyDescent="0.2">
      <c r="B1809" s="38"/>
      <c r="AY1809" s="39"/>
      <c r="AZ1809" s="39"/>
      <c r="BA1809" s="39"/>
      <c r="BK1809" s="39"/>
    </row>
    <row r="1810" spans="2:63" x14ac:dyDescent="0.2">
      <c r="B1810" s="38"/>
      <c r="AY1810" s="39"/>
      <c r="AZ1810" s="39"/>
      <c r="BA1810" s="39"/>
      <c r="BK1810" s="39"/>
    </row>
    <row r="1811" spans="2:63" x14ac:dyDescent="0.2">
      <c r="B1811" s="38"/>
      <c r="AY1811" s="39"/>
      <c r="AZ1811" s="39"/>
      <c r="BA1811" s="39"/>
      <c r="BK1811" s="39"/>
    </row>
    <row r="1812" spans="2:63" x14ac:dyDescent="0.2">
      <c r="B1812" s="38"/>
      <c r="AY1812" s="39"/>
      <c r="AZ1812" s="39"/>
      <c r="BA1812" s="39"/>
      <c r="BK1812" s="39"/>
    </row>
    <row r="1813" spans="2:63" x14ac:dyDescent="0.2">
      <c r="B1813" s="38"/>
      <c r="AY1813" s="39"/>
      <c r="AZ1813" s="39"/>
      <c r="BA1813" s="39"/>
      <c r="BK1813" s="39"/>
    </row>
    <row r="1814" spans="2:63" x14ac:dyDescent="0.2">
      <c r="B1814" s="38"/>
      <c r="AY1814" s="39"/>
      <c r="AZ1814" s="39"/>
      <c r="BA1814" s="39"/>
      <c r="BK1814" s="39"/>
    </row>
    <row r="1815" spans="2:63" x14ac:dyDescent="0.2">
      <c r="B1815" s="38"/>
      <c r="AY1815" s="39"/>
      <c r="AZ1815" s="39"/>
      <c r="BA1815" s="39"/>
      <c r="BK1815" s="39"/>
    </row>
    <row r="1816" spans="2:63" x14ac:dyDescent="0.2">
      <c r="B1816" s="38"/>
      <c r="AY1816" s="39"/>
      <c r="AZ1816" s="39"/>
      <c r="BA1816" s="39"/>
      <c r="BK1816" s="39"/>
    </row>
    <row r="1817" spans="2:63" x14ac:dyDescent="0.2">
      <c r="B1817" s="38"/>
      <c r="AY1817" s="39"/>
      <c r="AZ1817" s="39"/>
      <c r="BA1817" s="39"/>
      <c r="BK1817" s="39"/>
    </row>
    <row r="1818" spans="2:63" x14ac:dyDescent="0.2">
      <c r="B1818" s="38"/>
      <c r="AY1818" s="39"/>
      <c r="AZ1818" s="39"/>
      <c r="BA1818" s="39"/>
      <c r="BK1818" s="39"/>
    </row>
    <row r="1819" spans="2:63" x14ac:dyDescent="0.2">
      <c r="B1819" s="38"/>
      <c r="AY1819" s="39"/>
      <c r="AZ1819" s="39"/>
      <c r="BA1819" s="39"/>
      <c r="BK1819" s="39"/>
    </row>
    <row r="1820" spans="2:63" x14ac:dyDescent="0.2">
      <c r="B1820" s="38"/>
      <c r="AY1820" s="39"/>
      <c r="AZ1820" s="39"/>
      <c r="BA1820" s="39"/>
      <c r="BK1820" s="39"/>
    </row>
    <row r="1821" spans="2:63" x14ac:dyDescent="0.2">
      <c r="B1821" s="38"/>
      <c r="AY1821" s="39"/>
      <c r="AZ1821" s="39"/>
      <c r="BA1821" s="39"/>
      <c r="BK1821" s="39"/>
    </row>
    <row r="1822" spans="2:63" x14ac:dyDescent="0.2">
      <c r="B1822" s="38"/>
      <c r="AY1822" s="39"/>
      <c r="AZ1822" s="39"/>
      <c r="BA1822" s="39"/>
      <c r="BK1822" s="39"/>
    </row>
    <row r="1823" spans="2:63" x14ac:dyDescent="0.2">
      <c r="B1823" s="38"/>
      <c r="AY1823" s="39"/>
      <c r="AZ1823" s="39"/>
      <c r="BA1823" s="39"/>
      <c r="BK1823" s="39"/>
    </row>
    <row r="1824" spans="2:63" x14ac:dyDescent="0.2">
      <c r="B1824" s="38"/>
      <c r="AY1824" s="39"/>
      <c r="AZ1824" s="39"/>
      <c r="BA1824" s="39"/>
      <c r="BK1824" s="39"/>
    </row>
    <row r="1825" spans="2:63" x14ac:dyDescent="0.2">
      <c r="B1825" s="38"/>
      <c r="AY1825" s="39"/>
      <c r="AZ1825" s="39"/>
      <c r="BA1825" s="39"/>
      <c r="BK1825" s="39"/>
    </row>
    <row r="1826" spans="2:63" x14ac:dyDescent="0.2">
      <c r="B1826" s="38"/>
      <c r="AY1826" s="39"/>
      <c r="AZ1826" s="39"/>
      <c r="BA1826" s="39"/>
      <c r="BK1826" s="39"/>
    </row>
    <row r="1827" spans="2:63" x14ac:dyDescent="0.2">
      <c r="B1827" s="38"/>
      <c r="AY1827" s="39"/>
      <c r="AZ1827" s="39"/>
      <c r="BA1827" s="39"/>
      <c r="BK1827" s="39"/>
    </row>
    <row r="1828" spans="2:63" x14ac:dyDescent="0.2">
      <c r="B1828" s="38"/>
      <c r="AY1828" s="39"/>
      <c r="AZ1828" s="39"/>
      <c r="BA1828" s="39"/>
      <c r="BK1828" s="39"/>
    </row>
    <row r="1829" spans="2:63" x14ac:dyDescent="0.2">
      <c r="B1829" s="38"/>
      <c r="AY1829" s="39"/>
      <c r="AZ1829" s="39"/>
      <c r="BA1829" s="39"/>
      <c r="BK1829" s="39"/>
    </row>
    <row r="1830" spans="2:63" x14ac:dyDescent="0.2">
      <c r="B1830" s="38"/>
      <c r="AY1830" s="39"/>
      <c r="AZ1830" s="39"/>
      <c r="BA1830" s="39"/>
      <c r="BK1830" s="39"/>
    </row>
    <row r="1831" spans="2:63" x14ac:dyDescent="0.2">
      <c r="B1831" s="38"/>
      <c r="AY1831" s="39"/>
      <c r="AZ1831" s="39"/>
      <c r="BA1831" s="39"/>
      <c r="BK1831" s="39"/>
    </row>
    <row r="1832" spans="2:63" x14ac:dyDescent="0.2">
      <c r="B1832" s="38"/>
      <c r="AY1832" s="39"/>
      <c r="AZ1832" s="39"/>
      <c r="BA1832" s="39"/>
      <c r="BK1832" s="39"/>
    </row>
    <row r="1833" spans="2:63" x14ac:dyDescent="0.2">
      <c r="B1833" s="38"/>
      <c r="AY1833" s="39"/>
      <c r="AZ1833" s="39"/>
      <c r="BA1833" s="39"/>
      <c r="BK1833" s="39"/>
    </row>
    <row r="1834" spans="2:63" x14ac:dyDescent="0.2">
      <c r="B1834" s="38"/>
      <c r="AY1834" s="39"/>
      <c r="AZ1834" s="39"/>
      <c r="BA1834" s="39"/>
      <c r="BK1834" s="39"/>
    </row>
    <row r="1835" spans="2:63" x14ac:dyDescent="0.2">
      <c r="B1835" s="38"/>
      <c r="AY1835" s="39"/>
      <c r="AZ1835" s="39"/>
      <c r="BA1835" s="39"/>
      <c r="BK1835" s="39"/>
    </row>
    <row r="1836" spans="2:63" x14ac:dyDescent="0.2">
      <c r="B1836" s="38"/>
      <c r="AY1836" s="39"/>
      <c r="AZ1836" s="39"/>
      <c r="BA1836" s="39"/>
      <c r="BK1836" s="39"/>
    </row>
    <row r="1837" spans="2:63" x14ac:dyDescent="0.2">
      <c r="B1837" s="38"/>
      <c r="AY1837" s="39"/>
      <c r="AZ1837" s="39"/>
      <c r="BA1837" s="39"/>
      <c r="BK1837" s="39"/>
    </row>
    <row r="1838" spans="2:63" x14ac:dyDescent="0.2">
      <c r="B1838" s="38"/>
      <c r="AY1838" s="39"/>
      <c r="AZ1838" s="39"/>
      <c r="BA1838" s="39"/>
      <c r="BK1838" s="39"/>
    </row>
    <row r="1839" spans="2:63" x14ac:dyDescent="0.2">
      <c r="B1839" s="38"/>
      <c r="AY1839" s="39"/>
      <c r="AZ1839" s="39"/>
      <c r="BA1839" s="39"/>
      <c r="BK1839" s="39"/>
    </row>
    <row r="1840" spans="2:63" x14ac:dyDescent="0.2">
      <c r="B1840" s="38"/>
      <c r="AY1840" s="39"/>
      <c r="AZ1840" s="39"/>
      <c r="BA1840" s="39"/>
      <c r="BK1840" s="39"/>
    </row>
    <row r="1841" spans="2:63" x14ac:dyDescent="0.2">
      <c r="B1841" s="38"/>
      <c r="AY1841" s="39"/>
      <c r="AZ1841" s="39"/>
      <c r="BA1841" s="39"/>
      <c r="BK1841" s="39"/>
    </row>
    <row r="1842" spans="2:63" x14ac:dyDescent="0.2">
      <c r="B1842" s="38"/>
      <c r="AY1842" s="39"/>
      <c r="AZ1842" s="39"/>
      <c r="BA1842" s="39"/>
      <c r="BK1842" s="39"/>
    </row>
    <row r="1843" spans="2:63" x14ac:dyDescent="0.2">
      <c r="B1843" s="38"/>
      <c r="AY1843" s="39"/>
      <c r="AZ1843" s="39"/>
      <c r="BA1843" s="39"/>
      <c r="BK1843" s="39"/>
    </row>
    <row r="1844" spans="2:63" x14ac:dyDescent="0.2">
      <c r="B1844" s="38"/>
      <c r="AY1844" s="39"/>
      <c r="AZ1844" s="39"/>
      <c r="BA1844" s="39"/>
      <c r="BK1844" s="39"/>
    </row>
    <row r="1845" spans="2:63" x14ac:dyDescent="0.2">
      <c r="B1845" s="38"/>
      <c r="AY1845" s="39"/>
      <c r="AZ1845" s="39"/>
      <c r="BA1845" s="39"/>
      <c r="BK1845" s="39"/>
    </row>
    <row r="1846" spans="2:63" x14ac:dyDescent="0.2">
      <c r="B1846" s="38"/>
      <c r="AY1846" s="39"/>
      <c r="AZ1846" s="39"/>
      <c r="BA1846" s="39"/>
      <c r="BK1846" s="39"/>
    </row>
    <row r="1847" spans="2:63" x14ac:dyDescent="0.2">
      <c r="B1847" s="38"/>
      <c r="AY1847" s="39"/>
      <c r="AZ1847" s="39"/>
      <c r="BA1847" s="39"/>
      <c r="BK1847" s="39"/>
    </row>
    <row r="1848" spans="2:63" x14ac:dyDescent="0.2">
      <c r="B1848" s="38"/>
      <c r="AY1848" s="39"/>
      <c r="AZ1848" s="39"/>
      <c r="BA1848" s="39"/>
      <c r="BK1848" s="39"/>
    </row>
    <row r="1849" spans="2:63" x14ac:dyDescent="0.2">
      <c r="B1849" s="38"/>
      <c r="AY1849" s="39"/>
      <c r="AZ1849" s="39"/>
      <c r="BA1849" s="39"/>
      <c r="BK1849" s="39"/>
    </row>
    <row r="1850" spans="2:63" x14ac:dyDescent="0.2">
      <c r="B1850" s="38"/>
      <c r="AY1850" s="39"/>
      <c r="AZ1850" s="39"/>
      <c r="BA1850" s="39"/>
      <c r="BK1850" s="39"/>
    </row>
    <row r="1851" spans="2:63" x14ac:dyDescent="0.2">
      <c r="B1851" s="38"/>
      <c r="AY1851" s="39"/>
      <c r="AZ1851" s="39"/>
      <c r="BA1851" s="39"/>
      <c r="BK1851" s="39"/>
    </row>
    <row r="1852" spans="2:63" x14ac:dyDescent="0.2">
      <c r="B1852" s="38"/>
      <c r="AY1852" s="39"/>
      <c r="AZ1852" s="39"/>
      <c r="BA1852" s="39"/>
      <c r="BK1852" s="39"/>
    </row>
    <row r="1853" spans="2:63" x14ac:dyDescent="0.2">
      <c r="B1853" s="38"/>
      <c r="AY1853" s="39"/>
      <c r="AZ1853" s="39"/>
      <c r="BA1853" s="39"/>
      <c r="BK1853" s="39"/>
    </row>
    <row r="1854" spans="2:63" x14ac:dyDescent="0.2">
      <c r="B1854" s="38"/>
      <c r="AY1854" s="39"/>
      <c r="AZ1854" s="39"/>
      <c r="BA1854" s="39"/>
      <c r="BK1854" s="39"/>
    </row>
    <row r="1855" spans="2:63" x14ac:dyDescent="0.2">
      <c r="B1855" s="38"/>
      <c r="AY1855" s="39"/>
      <c r="AZ1855" s="39"/>
      <c r="BA1855" s="39"/>
      <c r="BK1855" s="39"/>
    </row>
    <row r="1856" spans="2:63" x14ac:dyDescent="0.2">
      <c r="B1856" s="38"/>
      <c r="AY1856" s="39"/>
      <c r="AZ1856" s="39"/>
      <c r="BA1856" s="39"/>
      <c r="BK1856" s="39"/>
    </row>
    <row r="1857" spans="2:63" x14ac:dyDescent="0.2">
      <c r="B1857" s="38"/>
      <c r="AY1857" s="39"/>
      <c r="AZ1857" s="39"/>
      <c r="BA1857" s="39"/>
      <c r="BK1857" s="39"/>
    </row>
    <row r="1858" spans="2:63" x14ac:dyDescent="0.2">
      <c r="B1858" s="38"/>
      <c r="AY1858" s="39"/>
      <c r="AZ1858" s="39"/>
      <c r="BA1858" s="39"/>
      <c r="BK1858" s="39"/>
    </row>
    <row r="1859" spans="2:63" x14ac:dyDescent="0.2">
      <c r="B1859" s="38"/>
      <c r="AY1859" s="39"/>
      <c r="AZ1859" s="39"/>
      <c r="BA1859" s="39"/>
      <c r="BK1859" s="39"/>
    </row>
    <row r="1860" spans="2:63" x14ac:dyDescent="0.2">
      <c r="B1860" s="38"/>
      <c r="AY1860" s="39"/>
      <c r="AZ1860" s="39"/>
      <c r="BA1860" s="39"/>
      <c r="BK1860" s="39"/>
    </row>
    <row r="1861" spans="2:63" x14ac:dyDescent="0.2">
      <c r="B1861" s="38"/>
      <c r="AY1861" s="39"/>
      <c r="AZ1861" s="39"/>
      <c r="BA1861" s="39"/>
      <c r="BK1861" s="39"/>
    </row>
    <row r="1862" spans="2:63" x14ac:dyDescent="0.2">
      <c r="B1862" s="38"/>
      <c r="AY1862" s="39"/>
      <c r="AZ1862" s="39"/>
      <c r="BA1862" s="39"/>
      <c r="BK1862" s="39"/>
    </row>
    <row r="1863" spans="2:63" x14ac:dyDescent="0.2">
      <c r="B1863" s="38"/>
      <c r="AY1863" s="39"/>
      <c r="AZ1863" s="39"/>
      <c r="BA1863" s="39"/>
      <c r="BK1863" s="39"/>
    </row>
    <row r="1864" spans="2:63" x14ac:dyDescent="0.2">
      <c r="B1864" s="38"/>
      <c r="AY1864" s="39"/>
      <c r="AZ1864" s="39"/>
      <c r="BA1864" s="39"/>
      <c r="BK1864" s="39"/>
    </row>
    <row r="1865" spans="2:63" x14ac:dyDescent="0.2">
      <c r="B1865" s="38"/>
      <c r="AY1865" s="39"/>
      <c r="AZ1865" s="39"/>
      <c r="BA1865" s="39"/>
      <c r="BK1865" s="39"/>
    </row>
    <row r="1866" spans="2:63" x14ac:dyDescent="0.2">
      <c r="B1866" s="38"/>
      <c r="AY1866" s="39"/>
      <c r="AZ1866" s="39"/>
      <c r="BA1866" s="39"/>
      <c r="BK1866" s="39"/>
    </row>
    <row r="1867" spans="2:63" x14ac:dyDescent="0.2">
      <c r="B1867" s="38"/>
      <c r="AY1867" s="39"/>
      <c r="AZ1867" s="39"/>
      <c r="BA1867" s="39"/>
      <c r="BK1867" s="39"/>
    </row>
    <row r="1868" spans="2:63" x14ac:dyDescent="0.2">
      <c r="B1868" s="38"/>
      <c r="AY1868" s="39"/>
      <c r="AZ1868" s="39"/>
      <c r="BA1868" s="39"/>
      <c r="BK1868" s="39"/>
    </row>
    <row r="1869" spans="2:63" x14ac:dyDescent="0.2">
      <c r="B1869" s="38"/>
      <c r="AY1869" s="39"/>
      <c r="AZ1869" s="39"/>
      <c r="BA1869" s="39"/>
      <c r="BK1869" s="39"/>
    </row>
    <row r="1870" spans="2:63" x14ac:dyDescent="0.2">
      <c r="B1870" s="38"/>
      <c r="AY1870" s="39"/>
      <c r="AZ1870" s="39"/>
      <c r="BA1870" s="39"/>
      <c r="BK1870" s="39"/>
    </row>
    <row r="1871" spans="2:63" x14ac:dyDescent="0.2">
      <c r="B1871" s="38"/>
      <c r="AY1871" s="39"/>
      <c r="AZ1871" s="39"/>
      <c r="BA1871" s="39"/>
      <c r="BK1871" s="39"/>
    </row>
    <row r="1872" spans="2:63" x14ac:dyDescent="0.2">
      <c r="B1872" s="38"/>
      <c r="AY1872" s="39"/>
      <c r="AZ1872" s="39"/>
      <c r="BA1872" s="39"/>
      <c r="BK1872" s="39"/>
    </row>
    <row r="1873" spans="2:63" x14ac:dyDescent="0.2">
      <c r="B1873" s="38"/>
      <c r="AY1873" s="39"/>
      <c r="AZ1873" s="39"/>
      <c r="BA1873" s="39"/>
      <c r="BK1873" s="39"/>
    </row>
    <row r="1874" spans="2:63" x14ac:dyDescent="0.2">
      <c r="B1874" s="38"/>
      <c r="AY1874" s="39"/>
      <c r="AZ1874" s="39"/>
      <c r="BA1874" s="39"/>
      <c r="BK1874" s="39"/>
    </row>
    <row r="1875" spans="2:63" x14ac:dyDescent="0.2">
      <c r="B1875" s="38"/>
      <c r="AY1875" s="39"/>
      <c r="AZ1875" s="39"/>
      <c r="BA1875" s="39"/>
      <c r="BK1875" s="39"/>
    </row>
    <row r="1876" spans="2:63" x14ac:dyDescent="0.2">
      <c r="B1876" s="38"/>
      <c r="AY1876" s="39"/>
      <c r="AZ1876" s="39"/>
      <c r="BA1876" s="39"/>
      <c r="BK1876" s="39"/>
    </row>
    <row r="1877" spans="2:63" x14ac:dyDescent="0.2">
      <c r="B1877" s="38"/>
      <c r="AY1877" s="39"/>
      <c r="AZ1877" s="39"/>
      <c r="BA1877" s="39"/>
      <c r="BK1877" s="39"/>
    </row>
    <row r="1878" spans="2:63" x14ac:dyDescent="0.2">
      <c r="B1878" s="38"/>
      <c r="AY1878" s="39"/>
      <c r="AZ1878" s="39"/>
      <c r="BA1878" s="39"/>
      <c r="BK1878" s="39"/>
    </row>
    <row r="1879" spans="2:63" x14ac:dyDescent="0.2">
      <c r="B1879" s="38"/>
      <c r="AY1879" s="39"/>
      <c r="AZ1879" s="39"/>
      <c r="BA1879" s="39"/>
      <c r="BK1879" s="39"/>
    </row>
    <row r="1880" spans="2:63" x14ac:dyDescent="0.2">
      <c r="B1880" s="38"/>
      <c r="AY1880" s="39"/>
      <c r="AZ1880" s="39"/>
      <c r="BA1880" s="39"/>
      <c r="BK1880" s="39"/>
    </row>
    <row r="1881" spans="2:63" x14ac:dyDescent="0.2">
      <c r="B1881" s="38"/>
      <c r="AY1881" s="39"/>
      <c r="AZ1881" s="39"/>
      <c r="BA1881" s="39"/>
      <c r="BK1881" s="39"/>
    </row>
    <row r="1882" spans="2:63" x14ac:dyDescent="0.2">
      <c r="B1882" s="38"/>
      <c r="AY1882" s="39"/>
      <c r="AZ1882" s="39"/>
      <c r="BA1882" s="39"/>
      <c r="BK1882" s="39"/>
    </row>
    <row r="1883" spans="2:63" x14ac:dyDescent="0.2">
      <c r="B1883" s="38"/>
      <c r="AY1883" s="39"/>
      <c r="AZ1883" s="39"/>
      <c r="BA1883" s="39"/>
      <c r="BK1883" s="39"/>
    </row>
    <row r="1884" spans="2:63" x14ac:dyDescent="0.2">
      <c r="B1884" s="38"/>
      <c r="AY1884" s="39"/>
      <c r="AZ1884" s="39"/>
      <c r="BA1884" s="39"/>
      <c r="BK1884" s="39"/>
    </row>
    <row r="1885" spans="2:63" x14ac:dyDescent="0.2">
      <c r="B1885" s="38"/>
      <c r="AY1885" s="39"/>
      <c r="AZ1885" s="39"/>
      <c r="BA1885" s="39"/>
      <c r="BK1885" s="39"/>
    </row>
    <row r="1886" spans="2:63" x14ac:dyDescent="0.2">
      <c r="B1886" s="38"/>
      <c r="AY1886" s="39"/>
      <c r="AZ1886" s="39"/>
      <c r="BA1886" s="39"/>
      <c r="BK1886" s="39"/>
    </row>
    <row r="1887" spans="2:63" x14ac:dyDescent="0.2">
      <c r="B1887" s="38"/>
      <c r="AY1887" s="39"/>
      <c r="AZ1887" s="39"/>
      <c r="BA1887" s="39"/>
      <c r="BK1887" s="39"/>
    </row>
    <row r="1888" spans="2:63" x14ac:dyDescent="0.2">
      <c r="B1888" s="38"/>
      <c r="AY1888" s="39"/>
      <c r="AZ1888" s="39"/>
      <c r="BA1888" s="39"/>
      <c r="BK1888" s="39"/>
    </row>
    <row r="1889" spans="2:63" x14ac:dyDescent="0.2">
      <c r="B1889" s="38"/>
      <c r="AY1889" s="39"/>
      <c r="AZ1889" s="39"/>
      <c r="BA1889" s="39"/>
      <c r="BK1889" s="39"/>
    </row>
    <row r="1890" spans="2:63" x14ac:dyDescent="0.2">
      <c r="B1890" s="38"/>
      <c r="AY1890" s="39"/>
      <c r="AZ1890" s="39"/>
      <c r="BA1890" s="39"/>
      <c r="BK1890" s="39"/>
    </row>
    <row r="1891" spans="2:63" x14ac:dyDescent="0.2">
      <c r="B1891" s="38"/>
      <c r="AY1891" s="39"/>
      <c r="AZ1891" s="39"/>
      <c r="BA1891" s="39"/>
      <c r="BK1891" s="39"/>
    </row>
    <row r="1892" spans="2:63" x14ac:dyDescent="0.2">
      <c r="B1892" s="38"/>
      <c r="AY1892" s="39"/>
      <c r="AZ1892" s="39"/>
      <c r="BA1892" s="39"/>
      <c r="BK1892" s="39"/>
    </row>
    <row r="1893" spans="2:63" x14ac:dyDescent="0.2">
      <c r="B1893" s="38"/>
      <c r="AY1893" s="39"/>
      <c r="AZ1893" s="39"/>
      <c r="BA1893" s="39"/>
      <c r="BK1893" s="39"/>
    </row>
    <row r="1894" spans="2:63" x14ac:dyDescent="0.2">
      <c r="B1894" s="38"/>
      <c r="AY1894" s="39"/>
      <c r="AZ1894" s="39"/>
      <c r="BA1894" s="39"/>
      <c r="BK1894" s="39"/>
    </row>
    <row r="1895" spans="2:63" x14ac:dyDescent="0.2">
      <c r="B1895" s="38"/>
      <c r="AY1895" s="39"/>
      <c r="AZ1895" s="39"/>
      <c r="BA1895" s="39"/>
      <c r="BK1895" s="39"/>
    </row>
    <row r="1896" spans="2:63" x14ac:dyDescent="0.2">
      <c r="B1896" s="38"/>
      <c r="AY1896" s="39"/>
      <c r="AZ1896" s="39"/>
      <c r="BA1896" s="39"/>
      <c r="BK1896" s="39"/>
    </row>
    <row r="1897" spans="2:63" x14ac:dyDescent="0.2">
      <c r="B1897" s="38"/>
      <c r="AY1897" s="39"/>
      <c r="AZ1897" s="39"/>
      <c r="BA1897" s="39"/>
      <c r="BK1897" s="39"/>
    </row>
    <row r="1898" spans="2:63" x14ac:dyDescent="0.2">
      <c r="B1898" s="38"/>
      <c r="AY1898" s="39"/>
      <c r="AZ1898" s="39"/>
      <c r="BA1898" s="39"/>
      <c r="BK1898" s="39"/>
    </row>
    <row r="1899" spans="2:63" x14ac:dyDescent="0.2">
      <c r="B1899" s="38"/>
      <c r="AY1899" s="39"/>
      <c r="AZ1899" s="39"/>
      <c r="BA1899" s="39"/>
      <c r="BK1899" s="39"/>
    </row>
    <row r="1900" spans="2:63" x14ac:dyDescent="0.2">
      <c r="B1900" s="38"/>
      <c r="AY1900" s="39"/>
      <c r="AZ1900" s="39"/>
      <c r="BA1900" s="39"/>
      <c r="BK1900" s="39"/>
    </row>
    <row r="1901" spans="2:63" x14ac:dyDescent="0.2">
      <c r="B1901" s="38"/>
      <c r="AY1901" s="39"/>
      <c r="AZ1901" s="39"/>
      <c r="BA1901" s="39"/>
      <c r="BK1901" s="39"/>
    </row>
    <row r="1902" spans="2:63" x14ac:dyDescent="0.2">
      <c r="B1902" s="38"/>
      <c r="AY1902" s="39"/>
      <c r="AZ1902" s="39"/>
      <c r="BA1902" s="39"/>
      <c r="BK1902" s="39"/>
    </row>
    <row r="1903" spans="2:63" x14ac:dyDescent="0.2">
      <c r="B1903" s="38"/>
      <c r="AY1903" s="39"/>
      <c r="AZ1903" s="39"/>
      <c r="BA1903" s="39"/>
      <c r="BK1903" s="39"/>
    </row>
    <row r="1904" spans="2:63" x14ac:dyDescent="0.2">
      <c r="B1904" s="38"/>
      <c r="AY1904" s="39"/>
      <c r="AZ1904" s="39"/>
      <c r="BA1904" s="39"/>
      <c r="BK1904" s="39"/>
    </row>
    <row r="1905" spans="2:63" x14ac:dyDescent="0.2">
      <c r="B1905" s="38"/>
      <c r="AY1905" s="39"/>
      <c r="AZ1905" s="39"/>
      <c r="BA1905" s="39"/>
      <c r="BK1905" s="39"/>
    </row>
    <row r="1906" spans="2:63" x14ac:dyDescent="0.2">
      <c r="B1906" s="38"/>
      <c r="AY1906" s="39"/>
      <c r="AZ1906" s="39"/>
      <c r="BA1906" s="39"/>
      <c r="BK1906" s="39"/>
    </row>
    <row r="1907" spans="2:63" x14ac:dyDescent="0.2">
      <c r="B1907" s="38"/>
      <c r="AY1907" s="39"/>
      <c r="AZ1907" s="39"/>
      <c r="BA1907" s="39"/>
      <c r="BK1907" s="39"/>
    </row>
    <row r="1908" spans="2:63" x14ac:dyDescent="0.2">
      <c r="B1908" s="38"/>
      <c r="AY1908" s="39"/>
      <c r="AZ1908" s="39"/>
      <c r="BA1908" s="39"/>
      <c r="BK1908" s="39"/>
    </row>
    <row r="1909" spans="2:63" x14ac:dyDescent="0.2">
      <c r="B1909" s="38"/>
      <c r="AY1909" s="39"/>
      <c r="AZ1909" s="39"/>
      <c r="BA1909" s="39"/>
      <c r="BK1909" s="39"/>
    </row>
    <row r="1910" spans="2:63" x14ac:dyDescent="0.2">
      <c r="B1910" s="38"/>
      <c r="AY1910" s="39"/>
      <c r="AZ1910" s="39"/>
      <c r="BA1910" s="39"/>
      <c r="BK1910" s="39"/>
    </row>
    <row r="1911" spans="2:63" x14ac:dyDescent="0.2">
      <c r="B1911" s="38"/>
      <c r="AY1911" s="39"/>
      <c r="AZ1911" s="39"/>
      <c r="BA1911" s="39"/>
      <c r="BK1911" s="39"/>
    </row>
    <row r="1912" spans="2:63" x14ac:dyDescent="0.2">
      <c r="B1912" s="38"/>
      <c r="AY1912" s="39"/>
      <c r="AZ1912" s="39"/>
      <c r="BA1912" s="39"/>
      <c r="BK1912" s="39"/>
    </row>
    <row r="1913" spans="2:63" x14ac:dyDescent="0.2">
      <c r="B1913" s="38"/>
      <c r="AY1913" s="39"/>
      <c r="AZ1913" s="39"/>
      <c r="BA1913" s="39"/>
      <c r="BK1913" s="39"/>
    </row>
    <row r="1914" spans="2:63" x14ac:dyDescent="0.2">
      <c r="B1914" s="38"/>
      <c r="AY1914" s="39"/>
      <c r="AZ1914" s="39"/>
      <c r="BA1914" s="39"/>
      <c r="BK1914" s="39"/>
    </row>
    <row r="1915" spans="2:63" x14ac:dyDescent="0.2">
      <c r="B1915" s="38"/>
      <c r="AY1915" s="39"/>
      <c r="AZ1915" s="39"/>
      <c r="BA1915" s="39"/>
      <c r="BK1915" s="39"/>
    </row>
    <row r="1916" spans="2:63" x14ac:dyDescent="0.2">
      <c r="B1916" s="38"/>
      <c r="AY1916" s="39"/>
      <c r="AZ1916" s="39"/>
      <c r="BA1916" s="39"/>
      <c r="BK1916" s="39"/>
    </row>
    <row r="1917" spans="2:63" x14ac:dyDescent="0.2">
      <c r="B1917" s="38"/>
      <c r="AY1917" s="39"/>
      <c r="AZ1917" s="39"/>
      <c r="BA1917" s="39"/>
      <c r="BK1917" s="39"/>
    </row>
    <row r="1918" spans="2:63" x14ac:dyDescent="0.2">
      <c r="B1918" s="38"/>
      <c r="AY1918" s="39"/>
      <c r="AZ1918" s="39"/>
      <c r="BA1918" s="39"/>
      <c r="BK1918" s="39"/>
    </row>
    <row r="1919" spans="2:63" x14ac:dyDescent="0.2">
      <c r="B1919" s="38"/>
      <c r="AY1919" s="39"/>
      <c r="AZ1919" s="39"/>
      <c r="BA1919" s="39"/>
      <c r="BK1919" s="39"/>
    </row>
    <row r="1920" spans="2:63" x14ac:dyDescent="0.2">
      <c r="B1920" s="38"/>
      <c r="AY1920" s="39"/>
      <c r="AZ1920" s="39"/>
      <c r="BA1920" s="39"/>
      <c r="BK1920" s="39"/>
    </row>
    <row r="1921" spans="2:63" x14ac:dyDescent="0.2">
      <c r="B1921" s="38"/>
      <c r="AY1921" s="39"/>
      <c r="AZ1921" s="39"/>
      <c r="BA1921" s="39"/>
      <c r="BK1921" s="39"/>
    </row>
    <row r="1922" spans="2:63" x14ac:dyDescent="0.2">
      <c r="B1922" s="38"/>
      <c r="AY1922" s="39"/>
      <c r="AZ1922" s="39"/>
      <c r="BA1922" s="39"/>
      <c r="BK1922" s="39"/>
    </row>
    <row r="1923" spans="2:63" x14ac:dyDescent="0.2">
      <c r="B1923" s="38"/>
      <c r="AY1923" s="39"/>
      <c r="AZ1923" s="39"/>
      <c r="BA1923" s="39"/>
      <c r="BK1923" s="39"/>
    </row>
    <row r="1924" spans="2:63" x14ac:dyDescent="0.2">
      <c r="B1924" s="38"/>
      <c r="AY1924" s="39"/>
      <c r="AZ1924" s="39"/>
      <c r="BA1924" s="39"/>
      <c r="BK1924" s="39"/>
    </row>
    <row r="1925" spans="2:63" x14ac:dyDescent="0.2">
      <c r="B1925" s="38"/>
      <c r="AY1925" s="39"/>
      <c r="AZ1925" s="39"/>
      <c r="BA1925" s="39"/>
      <c r="BK1925" s="39"/>
    </row>
    <row r="1926" spans="2:63" x14ac:dyDescent="0.2">
      <c r="B1926" s="38"/>
      <c r="AY1926" s="39"/>
      <c r="AZ1926" s="39"/>
      <c r="BA1926" s="39"/>
      <c r="BK1926" s="39"/>
    </row>
    <row r="1927" spans="2:63" x14ac:dyDescent="0.2">
      <c r="B1927" s="38"/>
      <c r="AY1927" s="39"/>
      <c r="AZ1927" s="39"/>
      <c r="BA1927" s="39"/>
      <c r="BK1927" s="39"/>
    </row>
    <row r="1928" spans="2:63" x14ac:dyDescent="0.2">
      <c r="B1928" s="38"/>
      <c r="AY1928" s="39"/>
      <c r="AZ1928" s="39"/>
      <c r="BA1928" s="39"/>
      <c r="BK1928" s="39"/>
    </row>
    <row r="1929" spans="2:63" x14ac:dyDescent="0.2">
      <c r="B1929" s="38"/>
      <c r="AY1929" s="39"/>
      <c r="AZ1929" s="39"/>
      <c r="BA1929" s="39"/>
      <c r="BK1929" s="39"/>
    </row>
    <row r="1930" spans="2:63" x14ac:dyDescent="0.2">
      <c r="B1930" s="38"/>
      <c r="AY1930" s="39"/>
      <c r="AZ1930" s="39"/>
      <c r="BA1930" s="39"/>
      <c r="BK1930" s="39"/>
    </row>
    <row r="1931" spans="2:63" x14ac:dyDescent="0.2">
      <c r="B1931" s="38"/>
      <c r="AY1931" s="39"/>
      <c r="AZ1931" s="39"/>
      <c r="BA1931" s="39"/>
      <c r="BK1931" s="39"/>
    </row>
    <row r="1932" spans="2:63" x14ac:dyDescent="0.2">
      <c r="B1932" s="38"/>
      <c r="AY1932" s="39"/>
      <c r="AZ1932" s="39"/>
      <c r="BA1932" s="39"/>
      <c r="BK1932" s="39"/>
    </row>
    <row r="1933" spans="2:63" x14ac:dyDescent="0.2">
      <c r="B1933" s="38"/>
      <c r="AY1933" s="39"/>
      <c r="AZ1933" s="39"/>
      <c r="BA1933" s="39"/>
      <c r="BK1933" s="39"/>
    </row>
    <row r="1934" spans="2:63" x14ac:dyDescent="0.2">
      <c r="B1934" s="38"/>
      <c r="AY1934" s="39"/>
      <c r="AZ1934" s="39"/>
      <c r="BA1934" s="39"/>
      <c r="BK1934" s="39"/>
    </row>
    <row r="1935" spans="2:63" x14ac:dyDescent="0.2">
      <c r="B1935" s="38"/>
      <c r="AY1935" s="39"/>
      <c r="AZ1935" s="39"/>
      <c r="BA1935" s="39"/>
      <c r="BK1935" s="39"/>
    </row>
    <row r="1936" spans="2:63" x14ac:dyDescent="0.2">
      <c r="B1936" s="38"/>
      <c r="AY1936" s="39"/>
      <c r="AZ1936" s="39"/>
      <c r="BA1936" s="39"/>
      <c r="BK1936" s="39"/>
    </row>
    <row r="1937" spans="2:63" x14ac:dyDescent="0.2">
      <c r="B1937" s="38"/>
      <c r="AY1937" s="39"/>
      <c r="AZ1937" s="39"/>
      <c r="BA1937" s="39"/>
      <c r="BK1937" s="39"/>
    </row>
    <row r="1938" spans="2:63" x14ac:dyDescent="0.2">
      <c r="B1938" s="38"/>
      <c r="AY1938" s="39"/>
      <c r="AZ1938" s="39"/>
      <c r="BA1938" s="39"/>
      <c r="BK1938" s="39"/>
    </row>
    <row r="1939" spans="2:63" x14ac:dyDescent="0.2">
      <c r="B1939" s="38"/>
      <c r="AY1939" s="39"/>
      <c r="AZ1939" s="39"/>
      <c r="BA1939" s="39"/>
      <c r="BK1939" s="39"/>
    </row>
    <row r="1940" spans="2:63" x14ac:dyDescent="0.2">
      <c r="B1940" s="38"/>
      <c r="AY1940" s="39"/>
      <c r="AZ1940" s="39"/>
      <c r="BA1940" s="39"/>
      <c r="BK1940" s="39"/>
    </row>
    <row r="1941" spans="2:63" x14ac:dyDescent="0.2">
      <c r="B1941" s="38"/>
      <c r="AY1941" s="39"/>
      <c r="AZ1941" s="39"/>
      <c r="BA1941" s="39"/>
      <c r="BK1941" s="39"/>
    </row>
    <row r="1942" spans="2:63" x14ac:dyDescent="0.2">
      <c r="B1942" s="38"/>
      <c r="AY1942" s="39"/>
      <c r="AZ1942" s="39"/>
      <c r="BA1942" s="39"/>
      <c r="BK1942" s="39"/>
    </row>
    <row r="1943" spans="2:63" x14ac:dyDescent="0.2">
      <c r="B1943" s="38"/>
      <c r="AY1943" s="39"/>
      <c r="AZ1943" s="39"/>
      <c r="BA1943" s="39"/>
      <c r="BK1943" s="39"/>
    </row>
    <row r="1944" spans="2:63" x14ac:dyDescent="0.2">
      <c r="B1944" s="38"/>
      <c r="AY1944" s="39"/>
      <c r="AZ1944" s="39"/>
      <c r="BA1944" s="39"/>
      <c r="BK1944" s="39"/>
    </row>
    <row r="1945" spans="2:63" x14ac:dyDescent="0.2">
      <c r="B1945" s="38"/>
      <c r="AY1945" s="39"/>
      <c r="AZ1945" s="39"/>
      <c r="BA1945" s="39"/>
      <c r="BK1945" s="39"/>
    </row>
    <row r="1946" spans="2:63" x14ac:dyDescent="0.2">
      <c r="B1946" s="38"/>
      <c r="AY1946" s="39"/>
      <c r="AZ1946" s="39"/>
      <c r="BA1946" s="39"/>
      <c r="BK1946" s="39"/>
    </row>
    <row r="1947" spans="2:63" x14ac:dyDescent="0.2">
      <c r="B1947" s="38"/>
      <c r="AY1947" s="39"/>
      <c r="AZ1947" s="39"/>
      <c r="BA1947" s="39"/>
      <c r="BK1947" s="39"/>
    </row>
    <row r="1948" spans="2:63" x14ac:dyDescent="0.2">
      <c r="B1948" s="38"/>
      <c r="AY1948" s="39"/>
      <c r="AZ1948" s="39"/>
      <c r="BA1948" s="39"/>
      <c r="BK1948" s="39"/>
    </row>
    <row r="1949" spans="2:63" x14ac:dyDescent="0.2">
      <c r="B1949" s="38"/>
      <c r="AY1949" s="39"/>
      <c r="AZ1949" s="39"/>
      <c r="BA1949" s="39"/>
      <c r="BK1949" s="39"/>
    </row>
    <row r="1950" spans="2:63" x14ac:dyDescent="0.2">
      <c r="B1950" s="38"/>
      <c r="AY1950" s="39"/>
      <c r="AZ1950" s="39"/>
      <c r="BA1950" s="39"/>
      <c r="BK1950" s="39"/>
    </row>
    <row r="1951" spans="2:63" x14ac:dyDescent="0.2">
      <c r="B1951" s="38"/>
      <c r="AY1951" s="39"/>
      <c r="AZ1951" s="39"/>
      <c r="BA1951" s="39"/>
      <c r="BK1951" s="39"/>
    </row>
    <row r="1952" spans="2:63" x14ac:dyDescent="0.2">
      <c r="B1952" s="38"/>
      <c r="AY1952" s="39"/>
      <c r="AZ1952" s="39"/>
      <c r="BA1952" s="39"/>
      <c r="BK1952" s="39"/>
    </row>
    <row r="1953" spans="2:63" x14ac:dyDescent="0.2">
      <c r="B1953" s="38"/>
      <c r="AY1953" s="39"/>
      <c r="AZ1953" s="39"/>
      <c r="BA1953" s="39"/>
      <c r="BK1953" s="39"/>
    </row>
    <row r="1954" spans="2:63" x14ac:dyDescent="0.2">
      <c r="B1954" s="38"/>
      <c r="AY1954" s="39"/>
      <c r="AZ1954" s="39"/>
      <c r="BA1954" s="39"/>
      <c r="BK1954" s="39"/>
    </row>
    <row r="1955" spans="2:63" x14ac:dyDescent="0.2">
      <c r="B1955" s="38"/>
      <c r="AY1955" s="39"/>
      <c r="AZ1955" s="39"/>
      <c r="BA1955" s="39"/>
      <c r="BK1955" s="39"/>
    </row>
    <row r="1956" spans="2:63" x14ac:dyDescent="0.2">
      <c r="B1956" s="38"/>
      <c r="AY1956" s="39"/>
      <c r="AZ1956" s="39"/>
      <c r="BA1956" s="39"/>
      <c r="BK1956" s="39"/>
    </row>
    <row r="1957" spans="2:63" x14ac:dyDescent="0.2">
      <c r="B1957" s="38"/>
      <c r="AY1957" s="39"/>
      <c r="AZ1957" s="39"/>
      <c r="BA1957" s="39"/>
      <c r="BK1957" s="39"/>
    </row>
    <row r="1958" spans="2:63" x14ac:dyDescent="0.2">
      <c r="B1958" s="38"/>
      <c r="AY1958" s="39"/>
      <c r="AZ1958" s="39"/>
      <c r="BA1958" s="39"/>
      <c r="BK1958" s="39"/>
    </row>
    <row r="1959" spans="2:63" x14ac:dyDescent="0.2">
      <c r="B1959" s="38"/>
      <c r="AY1959" s="39"/>
      <c r="AZ1959" s="39"/>
      <c r="BA1959" s="39"/>
      <c r="BK1959" s="39"/>
    </row>
    <row r="1960" spans="2:63" x14ac:dyDescent="0.2">
      <c r="B1960" s="38"/>
      <c r="AY1960" s="39"/>
      <c r="AZ1960" s="39"/>
      <c r="BA1960" s="39"/>
      <c r="BK1960" s="39"/>
    </row>
    <row r="1961" spans="2:63" x14ac:dyDescent="0.2">
      <c r="B1961" s="38"/>
      <c r="AY1961" s="39"/>
      <c r="AZ1961" s="39"/>
      <c r="BA1961" s="39"/>
      <c r="BK1961" s="39"/>
    </row>
    <row r="1962" spans="2:63" x14ac:dyDescent="0.2">
      <c r="B1962" s="38"/>
      <c r="AY1962" s="39"/>
      <c r="AZ1962" s="39"/>
      <c r="BA1962" s="39"/>
      <c r="BK1962" s="39"/>
    </row>
    <row r="1963" spans="2:63" x14ac:dyDescent="0.2">
      <c r="B1963" s="38"/>
      <c r="AY1963" s="39"/>
      <c r="AZ1963" s="39"/>
      <c r="BA1963" s="39"/>
      <c r="BK1963" s="39"/>
    </row>
    <row r="1964" spans="2:63" x14ac:dyDescent="0.2">
      <c r="B1964" s="38"/>
      <c r="AY1964" s="39"/>
      <c r="AZ1964" s="39"/>
      <c r="BA1964" s="39"/>
      <c r="BK1964" s="39"/>
    </row>
    <row r="1965" spans="2:63" x14ac:dyDescent="0.2">
      <c r="B1965" s="38"/>
      <c r="AY1965" s="39"/>
      <c r="AZ1965" s="39"/>
      <c r="BA1965" s="39"/>
      <c r="BK1965" s="39"/>
    </row>
    <row r="1966" spans="2:63" x14ac:dyDescent="0.2">
      <c r="B1966" s="38"/>
      <c r="AY1966" s="39"/>
      <c r="AZ1966" s="39"/>
      <c r="BA1966" s="39"/>
      <c r="BK1966" s="39"/>
    </row>
    <row r="1967" spans="2:63" x14ac:dyDescent="0.2">
      <c r="B1967" s="38"/>
      <c r="AY1967" s="39"/>
      <c r="AZ1967" s="39"/>
      <c r="BA1967" s="39"/>
      <c r="BK1967" s="39"/>
    </row>
    <row r="1968" spans="2:63" x14ac:dyDescent="0.2">
      <c r="B1968" s="38"/>
      <c r="AY1968" s="39"/>
      <c r="AZ1968" s="39"/>
      <c r="BA1968" s="39"/>
      <c r="BK1968" s="39"/>
    </row>
    <row r="1969" spans="2:63" x14ac:dyDescent="0.2">
      <c r="B1969" s="38"/>
      <c r="AY1969" s="39"/>
      <c r="AZ1969" s="39"/>
      <c r="BA1969" s="39"/>
      <c r="BK1969" s="39"/>
    </row>
    <row r="1970" spans="2:63" x14ac:dyDescent="0.2">
      <c r="B1970" s="38"/>
      <c r="AY1970" s="39"/>
      <c r="AZ1970" s="39"/>
      <c r="BA1970" s="39"/>
      <c r="BK1970" s="39"/>
    </row>
    <row r="1971" spans="2:63" x14ac:dyDescent="0.2">
      <c r="B1971" s="38"/>
      <c r="AY1971" s="39"/>
      <c r="AZ1971" s="39"/>
      <c r="BA1971" s="39"/>
      <c r="BK1971" s="39"/>
    </row>
    <row r="1972" spans="2:63" x14ac:dyDescent="0.2">
      <c r="B1972" s="38"/>
      <c r="AY1972" s="39"/>
      <c r="AZ1972" s="39"/>
      <c r="BA1972" s="39"/>
      <c r="BK1972" s="39"/>
    </row>
    <row r="1973" spans="2:63" x14ac:dyDescent="0.2">
      <c r="B1973" s="38"/>
      <c r="AY1973" s="39"/>
      <c r="AZ1973" s="39"/>
      <c r="BA1973" s="39"/>
      <c r="BK1973" s="39"/>
    </row>
    <row r="1974" spans="2:63" x14ac:dyDescent="0.2">
      <c r="B1974" s="38"/>
      <c r="AY1974" s="39"/>
      <c r="AZ1974" s="39"/>
      <c r="BA1974" s="39"/>
      <c r="BK1974" s="39"/>
    </row>
    <row r="1975" spans="2:63" x14ac:dyDescent="0.2">
      <c r="B1975" s="38"/>
      <c r="AY1975" s="39"/>
      <c r="AZ1975" s="39"/>
      <c r="BA1975" s="39"/>
      <c r="BK1975" s="39"/>
    </row>
    <row r="1976" spans="2:63" x14ac:dyDescent="0.2">
      <c r="B1976" s="38"/>
      <c r="AY1976" s="39"/>
      <c r="AZ1976" s="39"/>
      <c r="BA1976" s="39"/>
      <c r="BK1976" s="39"/>
    </row>
    <row r="1977" spans="2:63" x14ac:dyDescent="0.2">
      <c r="B1977" s="38"/>
      <c r="AY1977" s="39"/>
      <c r="AZ1977" s="39"/>
      <c r="BA1977" s="39"/>
      <c r="BK1977" s="39"/>
    </row>
    <row r="1978" spans="2:63" x14ac:dyDescent="0.2">
      <c r="B1978" s="38"/>
      <c r="AY1978" s="39"/>
      <c r="AZ1978" s="39"/>
      <c r="BA1978" s="39"/>
      <c r="BK1978" s="39"/>
    </row>
    <row r="1979" spans="2:63" x14ac:dyDescent="0.2">
      <c r="B1979" s="38"/>
      <c r="AY1979" s="39"/>
      <c r="AZ1979" s="39"/>
      <c r="BA1979" s="39"/>
      <c r="BK1979" s="39"/>
    </row>
    <row r="1980" spans="2:63" x14ac:dyDescent="0.2">
      <c r="B1980" s="38"/>
      <c r="AY1980" s="39"/>
      <c r="AZ1980" s="39"/>
      <c r="BA1980" s="39"/>
      <c r="BK1980" s="39"/>
    </row>
    <row r="1981" spans="2:63" x14ac:dyDescent="0.2">
      <c r="B1981" s="38"/>
      <c r="AY1981" s="39"/>
      <c r="AZ1981" s="39"/>
      <c r="BA1981" s="39"/>
      <c r="BK1981" s="39"/>
    </row>
    <row r="1982" spans="2:63" x14ac:dyDescent="0.2">
      <c r="B1982" s="38"/>
      <c r="AY1982" s="39"/>
      <c r="AZ1982" s="39"/>
      <c r="BA1982" s="39"/>
      <c r="BK1982" s="39"/>
    </row>
    <row r="1983" spans="2:63" x14ac:dyDescent="0.2">
      <c r="B1983" s="38"/>
      <c r="AY1983" s="39"/>
      <c r="AZ1983" s="39"/>
      <c r="BA1983" s="39"/>
      <c r="BK1983" s="39"/>
    </row>
    <row r="1984" spans="2:63" x14ac:dyDescent="0.2">
      <c r="B1984" s="38"/>
      <c r="AY1984" s="39"/>
      <c r="AZ1984" s="39"/>
      <c r="BA1984" s="39"/>
      <c r="BK1984" s="39"/>
    </row>
    <row r="1985" spans="2:63" x14ac:dyDescent="0.2">
      <c r="B1985" s="38"/>
      <c r="AY1985" s="39"/>
      <c r="AZ1985" s="39"/>
      <c r="BA1985" s="39"/>
      <c r="BK1985" s="39"/>
    </row>
    <row r="1986" spans="2:63" x14ac:dyDescent="0.2">
      <c r="B1986" s="38"/>
      <c r="AY1986" s="39"/>
      <c r="AZ1986" s="39"/>
      <c r="BA1986" s="39"/>
      <c r="BK1986" s="39"/>
    </row>
    <row r="1987" spans="2:63" x14ac:dyDescent="0.2">
      <c r="B1987" s="38"/>
      <c r="AY1987" s="39"/>
      <c r="AZ1987" s="39"/>
      <c r="BA1987" s="39"/>
      <c r="BK1987" s="39"/>
    </row>
    <row r="1988" spans="2:63" x14ac:dyDescent="0.2">
      <c r="B1988" s="38"/>
      <c r="AY1988" s="39"/>
      <c r="AZ1988" s="39"/>
      <c r="BA1988" s="39"/>
      <c r="BK1988" s="39"/>
    </row>
    <row r="1989" spans="2:63" x14ac:dyDescent="0.2">
      <c r="B1989" s="38"/>
      <c r="AY1989" s="39"/>
      <c r="AZ1989" s="39"/>
      <c r="BA1989" s="39"/>
      <c r="BK1989" s="39"/>
    </row>
    <row r="1990" spans="2:63" x14ac:dyDescent="0.2">
      <c r="B1990" s="38"/>
      <c r="AY1990" s="39"/>
      <c r="AZ1990" s="39"/>
      <c r="BA1990" s="39"/>
      <c r="BK1990" s="39"/>
    </row>
    <row r="1991" spans="2:63" x14ac:dyDescent="0.2">
      <c r="B1991" s="38"/>
      <c r="AY1991" s="39"/>
      <c r="AZ1991" s="39"/>
      <c r="BA1991" s="39"/>
      <c r="BK1991" s="39"/>
    </row>
    <row r="1992" spans="2:63" x14ac:dyDescent="0.2">
      <c r="B1992" s="38"/>
      <c r="AY1992" s="39"/>
      <c r="AZ1992" s="39"/>
      <c r="BA1992" s="39"/>
      <c r="BK1992" s="39"/>
    </row>
    <row r="1993" spans="2:63" x14ac:dyDescent="0.2">
      <c r="B1993" s="38"/>
      <c r="AY1993" s="39"/>
      <c r="AZ1993" s="39"/>
      <c r="BA1993" s="39"/>
      <c r="BK1993" s="39"/>
    </row>
    <row r="1994" spans="2:63" x14ac:dyDescent="0.2">
      <c r="B1994" s="38"/>
      <c r="AY1994" s="39"/>
      <c r="AZ1994" s="39"/>
      <c r="BA1994" s="39"/>
      <c r="BK1994" s="39"/>
    </row>
    <row r="1995" spans="2:63" x14ac:dyDescent="0.2">
      <c r="B1995" s="38"/>
      <c r="AY1995" s="39"/>
      <c r="AZ1995" s="39"/>
      <c r="BA1995" s="39"/>
      <c r="BK1995" s="39"/>
    </row>
    <row r="1996" spans="2:63" x14ac:dyDescent="0.2">
      <c r="B1996" s="38"/>
      <c r="AY1996" s="39"/>
      <c r="AZ1996" s="39"/>
      <c r="BA1996" s="39"/>
      <c r="BK1996" s="39"/>
    </row>
    <row r="1997" spans="2:63" x14ac:dyDescent="0.2">
      <c r="B1997" s="38"/>
      <c r="AY1997" s="39"/>
      <c r="AZ1997" s="39"/>
      <c r="BA1997" s="39"/>
      <c r="BK1997" s="39"/>
    </row>
    <row r="1998" spans="2:63" x14ac:dyDescent="0.2">
      <c r="B1998" s="38"/>
      <c r="AY1998" s="39"/>
      <c r="AZ1998" s="39"/>
      <c r="BA1998" s="39"/>
      <c r="BK1998" s="39"/>
    </row>
    <row r="1999" spans="2:63" x14ac:dyDescent="0.2">
      <c r="B1999" s="38"/>
      <c r="AY1999" s="39"/>
      <c r="AZ1999" s="39"/>
      <c r="BA1999" s="39"/>
      <c r="BK1999" s="39"/>
    </row>
    <row r="2000" spans="2:63" x14ac:dyDescent="0.2">
      <c r="B2000" s="38"/>
      <c r="AY2000" s="39"/>
      <c r="AZ2000" s="39"/>
      <c r="BA2000" s="39"/>
      <c r="BK2000" s="39"/>
    </row>
    <row r="2001" spans="2:63" x14ac:dyDescent="0.2">
      <c r="B2001" s="38"/>
      <c r="AY2001" s="39"/>
      <c r="AZ2001" s="39"/>
      <c r="BA2001" s="39"/>
      <c r="BK2001" s="39"/>
    </row>
    <row r="2002" spans="2:63" x14ac:dyDescent="0.2">
      <c r="B2002" s="38"/>
      <c r="AY2002" s="39"/>
      <c r="AZ2002" s="39"/>
      <c r="BA2002" s="39"/>
      <c r="BK2002" s="39"/>
    </row>
    <row r="2003" spans="2:63" x14ac:dyDescent="0.2">
      <c r="B2003" s="38"/>
      <c r="AY2003" s="39"/>
      <c r="AZ2003" s="39"/>
      <c r="BA2003" s="39"/>
      <c r="BK2003" s="39"/>
    </row>
    <row r="2004" spans="2:63" x14ac:dyDescent="0.2">
      <c r="B2004" s="38"/>
      <c r="AY2004" s="39"/>
      <c r="AZ2004" s="39"/>
      <c r="BA2004" s="39"/>
      <c r="BK2004" s="39"/>
    </row>
    <row r="2005" spans="2:63" x14ac:dyDescent="0.2">
      <c r="B2005" s="38"/>
      <c r="AY2005" s="39"/>
      <c r="AZ2005" s="39"/>
      <c r="BA2005" s="39"/>
      <c r="BK2005" s="39"/>
    </row>
    <row r="2006" spans="2:63" x14ac:dyDescent="0.2">
      <c r="B2006" s="38"/>
      <c r="AY2006" s="39"/>
      <c r="AZ2006" s="39"/>
      <c r="BA2006" s="39"/>
      <c r="BK2006" s="39"/>
    </row>
    <row r="2007" spans="2:63" x14ac:dyDescent="0.2">
      <c r="B2007" s="38"/>
      <c r="AY2007" s="39"/>
      <c r="AZ2007" s="39"/>
      <c r="BA2007" s="39"/>
      <c r="BK2007" s="39"/>
    </row>
    <row r="2008" spans="2:63" x14ac:dyDescent="0.2">
      <c r="B2008" s="38"/>
      <c r="AY2008" s="39"/>
      <c r="AZ2008" s="39"/>
      <c r="BA2008" s="39"/>
      <c r="BK2008" s="39"/>
    </row>
    <row r="2009" spans="2:63" x14ac:dyDescent="0.2">
      <c r="B2009" s="38"/>
      <c r="AY2009" s="39"/>
      <c r="AZ2009" s="39"/>
      <c r="BA2009" s="39"/>
      <c r="BK2009" s="39"/>
    </row>
    <row r="2010" spans="2:63" x14ac:dyDescent="0.2">
      <c r="B2010" s="38"/>
      <c r="AY2010" s="39"/>
      <c r="AZ2010" s="39"/>
      <c r="BA2010" s="39"/>
      <c r="BK2010" s="39"/>
    </row>
    <row r="2011" spans="2:63" x14ac:dyDescent="0.2">
      <c r="B2011" s="38"/>
      <c r="AY2011" s="39"/>
      <c r="AZ2011" s="39"/>
      <c r="BA2011" s="39"/>
      <c r="BK2011" s="39"/>
    </row>
    <row r="2012" spans="2:63" x14ac:dyDescent="0.2">
      <c r="B2012" s="38"/>
      <c r="AY2012" s="39"/>
      <c r="AZ2012" s="39"/>
      <c r="BA2012" s="39"/>
      <c r="BK2012" s="39"/>
    </row>
    <row r="2013" spans="2:63" x14ac:dyDescent="0.2">
      <c r="B2013" s="38"/>
      <c r="AY2013" s="39"/>
      <c r="AZ2013" s="39"/>
      <c r="BA2013" s="39"/>
      <c r="BK2013" s="39"/>
    </row>
    <row r="2014" spans="2:63" x14ac:dyDescent="0.2">
      <c r="B2014" s="38"/>
      <c r="AY2014" s="39"/>
      <c r="AZ2014" s="39"/>
      <c r="BA2014" s="39"/>
      <c r="BK2014" s="39"/>
    </row>
    <row r="2015" spans="2:63" x14ac:dyDescent="0.2">
      <c r="B2015" s="38"/>
      <c r="AY2015" s="39"/>
      <c r="AZ2015" s="39"/>
      <c r="BA2015" s="39"/>
      <c r="BK2015" s="39"/>
    </row>
    <row r="2016" spans="2:63" x14ac:dyDescent="0.2">
      <c r="B2016" s="38"/>
      <c r="AY2016" s="39"/>
      <c r="AZ2016" s="39"/>
      <c r="BA2016" s="39"/>
      <c r="BK2016" s="39"/>
    </row>
    <row r="2017" spans="2:63" x14ac:dyDescent="0.2">
      <c r="B2017" s="38"/>
      <c r="AY2017" s="39"/>
      <c r="AZ2017" s="39"/>
      <c r="BA2017" s="39"/>
      <c r="BK2017" s="39"/>
    </row>
    <row r="2018" spans="2:63" x14ac:dyDescent="0.2">
      <c r="B2018" s="38"/>
      <c r="AY2018" s="39"/>
      <c r="AZ2018" s="39"/>
      <c r="BA2018" s="39"/>
      <c r="BK2018" s="39"/>
    </row>
    <row r="2019" spans="2:63" x14ac:dyDescent="0.2">
      <c r="B2019" s="38"/>
      <c r="AY2019" s="39"/>
      <c r="AZ2019" s="39"/>
      <c r="BA2019" s="39"/>
      <c r="BK2019" s="39"/>
    </row>
    <row r="2020" spans="2:63" x14ac:dyDescent="0.2">
      <c r="B2020" s="38"/>
      <c r="AY2020" s="39"/>
      <c r="AZ2020" s="39"/>
      <c r="BA2020" s="39"/>
      <c r="BK2020" s="39"/>
    </row>
    <row r="2021" spans="2:63" x14ac:dyDescent="0.2">
      <c r="B2021" s="38"/>
      <c r="AY2021" s="39"/>
      <c r="AZ2021" s="39"/>
      <c r="BA2021" s="39"/>
      <c r="BK2021" s="39"/>
    </row>
    <row r="2022" spans="2:63" x14ac:dyDescent="0.2">
      <c r="B2022" s="38"/>
      <c r="AY2022" s="39"/>
      <c r="AZ2022" s="39"/>
      <c r="BA2022" s="39"/>
      <c r="BK2022" s="39"/>
    </row>
    <row r="2023" spans="2:63" x14ac:dyDescent="0.2">
      <c r="B2023" s="38"/>
      <c r="AY2023" s="39"/>
      <c r="AZ2023" s="39"/>
      <c r="BA2023" s="39"/>
      <c r="BK2023" s="39"/>
    </row>
    <row r="2024" spans="2:63" x14ac:dyDescent="0.2">
      <c r="B2024" s="38"/>
      <c r="AY2024" s="39"/>
      <c r="AZ2024" s="39"/>
      <c r="BA2024" s="39"/>
      <c r="BK2024" s="39"/>
    </row>
    <row r="2025" spans="2:63" x14ac:dyDescent="0.2">
      <c r="B2025" s="38"/>
      <c r="AY2025" s="39"/>
      <c r="AZ2025" s="39"/>
      <c r="BA2025" s="39"/>
      <c r="BK2025" s="39"/>
    </row>
    <row r="2026" spans="2:63" x14ac:dyDescent="0.2">
      <c r="B2026" s="38"/>
      <c r="AY2026" s="39"/>
      <c r="AZ2026" s="39"/>
      <c r="BA2026" s="39"/>
      <c r="BK2026" s="39"/>
    </row>
    <row r="2027" spans="2:63" x14ac:dyDescent="0.2">
      <c r="B2027" s="38"/>
      <c r="AY2027" s="39"/>
      <c r="AZ2027" s="39"/>
      <c r="BA2027" s="39"/>
      <c r="BK2027" s="39"/>
    </row>
  </sheetData>
  <sortState ref="A2:AV2027">
    <sortCondition ref="AV2:AV2027"/>
    <sortCondition ref="AT2:AT2027"/>
    <sortCondition ref="Y2:Y2027"/>
  </sortState>
  <printOptions gridLines="1" gridLinesSet="0"/>
  <pageMargins left="0.75" right="0.75" top="1" bottom="1" header="0.5" footer="0.5"/>
  <pageSetup fitToWidth="0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8"/>
  <sheetViews>
    <sheetView workbookViewId="0">
      <pane ySplit="1" topLeftCell="A278" activePane="bottomLeft" state="frozen"/>
      <selection pane="bottomLeft"/>
    </sheetView>
  </sheetViews>
  <sheetFormatPr defaultRowHeight="12.75" x14ac:dyDescent="0.2"/>
  <cols>
    <col min="1" max="1" width="11.140625" style="1" bestFit="1" customWidth="1"/>
    <col min="2" max="2" width="15" style="1" bestFit="1" customWidth="1"/>
    <col min="3" max="3" width="10.42578125" style="15" bestFit="1" customWidth="1"/>
    <col min="4" max="4" width="15" style="1" bestFit="1" customWidth="1"/>
    <col min="5" max="5" width="16.5703125" style="1" bestFit="1" customWidth="1"/>
    <col min="6" max="6" width="27.85546875" style="1" bestFit="1" customWidth="1"/>
    <col min="7" max="7" width="8" style="1" bestFit="1" customWidth="1"/>
    <col min="8" max="8" width="11" style="1" bestFit="1" customWidth="1"/>
    <col min="9" max="9" width="80.28515625" style="1" customWidth="1"/>
    <col min="10" max="10" width="10" style="1" bestFit="1" customWidth="1"/>
    <col min="11" max="16384" width="9.140625" style="1"/>
  </cols>
  <sheetData>
    <row r="1" spans="1:11" s="2" customFormat="1" x14ac:dyDescent="0.2">
      <c r="A1" s="2" t="s">
        <v>0</v>
      </c>
      <c r="B1" s="2" t="s">
        <v>1</v>
      </c>
      <c r="C1" s="14" t="s">
        <v>2</v>
      </c>
      <c r="D1" s="2" t="s">
        <v>3</v>
      </c>
      <c r="E1" s="2" t="s">
        <v>4</v>
      </c>
      <c r="F1" s="2" t="s">
        <v>18</v>
      </c>
      <c r="G1" s="2" t="s">
        <v>5</v>
      </c>
      <c r="H1" s="2" t="s">
        <v>8</v>
      </c>
      <c r="I1" s="2" t="s">
        <v>14</v>
      </c>
      <c r="J1" s="2" t="s">
        <v>15</v>
      </c>
      <c r="K1" s="2" t="s">
        <v>21</v>
      </c>
    </row>
    <row r="2" spans="1:11" x14ac:dyDescent="0.2">
      <c r="A2" s="1" t="s">
        <v>486</v>
      </c>
      <c r="B2" s="1" t="s">
        <v>351</v>
      </c>
      <c r="C2" s="15">
        <v>42234</v>
      </c>
      <c r="D2" s="1" t="s">
        <v>23</v>
      </c>
      <c r="E2" s="1" t="s">
        <v>22</v>
      </c>
      <c r="F2" s="1" t="s">
        <v>487</v>
      </c>
      <c r="G2" s="1">
        <v>499.99</v>
      </c>
      <c r="H2" s="1">
        <v>0</v>
      </c>
      <c r="I2" s="1" t="s">
        <v>350</v>
      </c>
      <c r="J2" s="1">
        <v>16075</v>
      </c>
      <c r="K2" s="1">
        <v>110335</v>
      </c>
    </row>
    <row r="3" spans="1:11" x14ac:dyDescent="0.2">
      <c r="A3" s="1" t="s">
        <v>486</v>
      </c>
      <c r="B3" s="1" t="s">
        <v>398</v>
      </c>
      <c r="C3" s="15">
        <v>42234</v>
      </c>
      <c r="D3" s="1" t="s">
        <v>23</v>
      </c>
      <c r="E3" s="1" t="s">
        <v>22</v>
      </c>
      <c r="F3" s="1" t="s">
        <v>488</v>
      </c>
      <c r="G3" s="1">
        <v>500.03</v>
      </c>
      <c r="H3" s="1">
        <v>0</v>
      </c>
      <c r="I3" s="1" t="s">
        <v>397</v>
      </c>
      <c r="J3" s="1">
        <v>16120</v>
      </c>
      <c r="K3" s="1">
        <v>110381</v>
      </c>
    </row>
    <row r="4" spans="1:11" x14ac:dyDescent="0.2">
      <c r="A4" s="1" t="s">
        <v>486</v>
      </c>
      <c r="B4" s="1" t="s">
        <v>282</v>
      </c>
      <c r="C4" s="15">
        <v>42234</v>
      </c>
      <c r="D4" s="1" t="s">
        <v>23</v>
      </c>
      <c r="E4" s="1" t="s">
        <v>22</v>
      </c>
      <c r="F4" s="1" t="s">
        <v>489</v>
      </c>
      <c r="G4" s="1">
        <v>0</v>
      </c>
      <c r="H4" s="1">
        <v>0</v>
      </c>
      <c r="I4" s="1" t="s">
        <v>388</v>
      </c>
      <c r="J4" s="1">
        <v>16112</v>
      </c>
      <c r="K4" s="1">
        <v>110373</v>
      </c>
    </row>
    <row r="5" spans="1:11" x14ac:dyDescent="0.2">
      <c r="A5" s="1" t="s">
        <v>486</v>
      </c>
      <c r="B5" s="1" t="s">
        <v>282</v>
      </c>
      <c r="C5" s="15">
        <v>42234</v>
      </c>
      <c r="D5" s="1" t="s">
        <v>23</v>
      </c>
      <c r="E5" s="1" t="s">
        <v>22</v>
      </c>
      <c r="F5" s="1" t="s">
        <v>489</v>
      </c>
      <c r="G5" s="1">
        <v>999.68</v>
      </c>
      <c r="H5" s="1">
        <v>0</v>
      </c>
      <c r="I5" s="1" t="s">
        <v>281</v>
      </c>
      <c r="J5" s="1">
        <v>16112</v>
      </c>
      <c r="K5" s="1">
        <v>108076</v>
      </c>
    </row>
    <row r="6" spans="1:11" x14ac:dyDescent="0.2">
      <c r="A6" s="1" t="s">
        <v>486</v>
      </c>
      <c r="B6" s="1" t="s">
        <v>390</v>
      </c>
      <c r="C6" s="15">
        <v>42234</v>
      </c>
      <c r="D6" s="1" t="s">
        <v>23</v>
      </c>
      <c r="E6" s="1" t="s">
        <v>22</v>
      </c>
      <c r="F6" s="1" t="s">
        <v>490</v>
      </c>
      <c r="G6" s="1">
        <v>874.98</v>
      </c>
      <c r="H6" s="1">
        <v>0</v>
      </c>
      <c r="I6" s="1" t="s">
        <v>354</v>
      </c>
      <c r="J6" s="1">
        <v>16114</v>
      </c>
      <c r="K6" s="1">
        <v>110375</v>
      </c>
    </row>
    <row r="7" spans="1:11" x14ac:dyDescent="0.2">
      <c r="A7" s="1" t="s">
        <v>486</v>
      </c>
      <c r="B7" s="1" t="s">
        <v>179</v>
      </c>
      <c r="C7" s="15">
        <v>42256</v>
      </c>
      <c r="D7" s="1" t="s">
        <v>23</v>
      </c>
      <c r="E7" s="1" t="s">
        <v>26</v>
      </c>
      <c r="F7" s="1" t="s">
        <v>491</v>
      </c>
      <c r="G7" s="1">
        <v>22</v>
      </c>
      <c r="H7" s="1">
        <v>145550</v>
      </c>
      <c r="I7" s="1" t="s">
        <v>464</v>
      </c>
      <c r="J7" s="1">
        <v>16676</v>
      </c>
      <c r="K7" s="1">
        <v>110178</v>
      </c>
    </row>
    <row r="8" spans="1:11" x14ac:dyDescent="0.2">
      <c r="A8" s="1" t="s">
        <v>486</v>
      </c>
      <c r="B8" s="1" t="s">
        <v>179</v>
      </c>
      <c r="C8" s="15">
        <v>42256</v>
      </c>
      <c r="D8" s="1" t="s">
        <v>23</v>
      </c>
      <c r="E8" s="1" t="s">
        <v>24</v>
      </c>
      <c r="F8" s="1" t="s">
        <v>492</v>
      </c>
      <c r="G8" s="1">
        <v>1200</v>
      </c>
      <c r="H8" s="1">
        <v>145550</v>
      </c>
      <c r="I8" s="1" t="s">
        <v>178</v>
      </c>
      <c r="J8" s="1">
        <v>16676</v>
      </c>
      <c r="K8" s="1">
        <v>110176</v>
      </c>
    </row>
    <row r="9" spans="1:11" x14ac:dyDescent="0.2">
      <c r="A9" s="1" t="s">
        <v>486</v>
      </c>
      <c r="B9" s="1" t="s">
        <v>179</v>
      </c>
      <c r="C9" s="15">
        <v>42256</v>
      </c>
      <c r="D9" s="1" t="s">
        <v>23</v>
      </c>
      <c r="E9" s="1" t="s">
        <v>22</v>
      </c>
      <c r="F9" s="1" t="s">
        <v>493</v>
      </c>
      <c r="G9" s="1">
        <v>1250</v>
      </c>
      <c r="H9" s="1">
        <v>0</v>
      </c>
      <c r="I9" s="1" t="s">
        <v>331</v>
      </c>
      <c r="J9" s="1">
        <v>16676</v>
      </c>
      <c r="K9" s="1">
        <v>110179</v>
      </c>
    </row>
    <row r="10" spans="1:11" x14ac:dyDescent="0.2">
      <c r="A10" s="1" t="s">
        <v>486</v>
      </c>
      <c r="B10" s="1" t="s">
        <v>481</v>
      </c>
      <c r="C10" s="15">
        <v>42277</v>
      </c>
      <c r="D10" s="1" t="s">
        <v>28</v>
      </c>
      <c r="E10" s="1" t="s">
        <v>24</v>
      </c>
      <c r="F10" s="1" t="s">
        <v>494</v>
      </c>
      <c r="G10" s="1">
        <v>900</v>
      </c>
      <c r="H10" s="1">
        <v>145595</v>
      </c>
      <c r="I10" s="1" t="s">
        <v>480</v>
      </c>
      <c r="J10" s="1">
        <v>16677</v>
      </c>
      <c r="K10" s="1">
        <v>110181</v>
      </c>
    </row>
    <row r="11" spans="1:11" x14ac:dyDescent="0.2">
      <c r="A11" s="1" t="s">
        <v>486</v>
      </c>
      <c r="B11" s="1" t="s">
        <v>361</v>
      </c>
      <c r="C11" s="15">
        <v>42234</v>
      </c>
      <c r="D11" s="1" t="s">
        <v>23</v>
      </c>
      <c r="E11" s="1" t="s">
        <v>22</v>
      </c>
      <c r="F11" s="1" t="s">
        <v>495</v>
      </c>
      <c r="G11" s="1">
        <v>499.99</v>
      </c>
      <c r="H11" s="1">
        <v>0</v>
      </c>
      <c r="I11" s="1" t="s">
        <v>296</v>
      </c>
      <c r="J11" s="1">
        <v>16089</v>
      </c>
      <c r="K11" s="1">
        <v>110354</v>
      </c>
    </row>
    <row r="12" spans="1:11" x14ac:dyDescent="0.2">
      <c r="A12" s="1" t="s">
        <v>486</v>
      </c>
      <c r="B12" s="1" t="s">
        <v>297</v>
      </c>
      <c r="C12" s="15">
        <v>42234</v>
      </c>
      <c r="D12" s="1" t="s">
        <v>23</v>
      </c>
      <c r="E12" s="1" t="s">
        <v>22</v>
      </c>
      <c r="F12" s="1" t="s">
        <v>496</v>
      </c>
      <c r="G12" s="1">
        <v>1000</v>
      </c>
      <c r="H12" s="1">
        <v>0</v>
      </c>
      <c r="I12" s="1" t="s">
        <v>296</v>
      </c>
      <c r="J12" s="1">
        <v>16080</v>
      </c>
      <c r="K12" s="1">
        <v>110345</v>
      </c>
    </row>
    <row r="13" spans="1:11" x14ac:dyDescent="0.2">
      <c r="A13" s="1" t="s">
        <v>486</v>
      </c>
      <c r="B13" s="1" t="s">
        <v>420</v>
      </c>
      <c r="C13" s="15">
        <v>42234</v>
      </c>
      <c r="D13" s="1" t="s">
        <v>23</v>
      </c>
      <c r="E13" s="1" t="s">
        <v>22</v>
      </c>
      <c r="F13" s="1" t="s">
        <v>497</v>
      </c>
      <c r="G13" s="1">
        <v>375</v>
      </c>
      <c r="H13" s="1">
        <v>0</v>
      </c>
      <c r="I13" s="1" t="s">
        <v>419</v>
      </c>
      <c r="J13" s="1">
        <v>16090</v>
      </c>
      <c r="K13" s="1">
        <v>111021</v>
      </c>
    </row>
    <row r="14" spans="1:11" x14ac:dyDescent="0.2">
      <c r="A14" s="1" t="s">
        <v>486</v>
      </c>
      <c r="B14" s="1" t="s">
        <v>406</v>
      </c>
      <c r="C14" s="15">
        <v>42234</v>
      </c>
      <c r="D14" s="1" t="s">
        <v>23</v>
      </c>
      <c r="E14" s="1" t="s">
        <v>22</v>
      </c>
      <c r="F14" s="1" t="s">
        <v>498</v>
      </c>
      <c r="G14" s="1">
        <v>998.57</v>
      </c>
      <c r="H14" s="1">
        <v>0</v>
      </c>
      <c r="I14" s="1" t="s">
        <v>294</v>
      </c>
      <c r="J14" s="1">
        <v>16127</v>
      </c>
      <c r="K14" s="1">
        <v>110390</v>
      </c>
    </row>
    <row r="15" spans="1:11" x14ac:dyDescent="0.2">
      <c r="A15" s="1" t="s">
        <v>486</v>
      </c>
      <c r="B15" s="1" t="s">
        <v>183</v>
      </c>
      <c r="C15" s="15">
        <v>42220</v>
      </c>
      <c r="D15" s="1" t="s">
        <v>23</v>
      </c>
      <c r="E15" s="1" t="s">
        <v>26</v>
      </c>
      <c r="F15" s="1" t="s">
        <v>499</v>
      </c>
      <c r="G15" s="1">
        <v>103.35</v>
      </c>
      <c r="H15" s="1">
        <v>141445</v>
      </c>
      <c r="I15" s="1" t="s">
        <v>445</v>
      </c>
      <c r="J15" s="1">
        <v>16211</v>
      </c>
      <c r="K15" s="1">
        <v>106914</v>
      </c>
    </row>
    <row r="16" spans="1:11" x14ac:dyDescent="0.2">
      <c r="A16" s="1" t="s">
        <v>486</v>
      </c>
      <c r="B16" s="1" t="s">
        <v>183</v>
      </c>
      <c r="C16" s="15">
        <v>42220</v>
      </c>
      <c r="D16" s="1" t="s">
        <v>23</v>
      </c>
      <c r="E16" s="1" t="s">
        <v>24</v>
      </c>
      <c r="F16" s="1" t="s">
        <v>500</v>
      </c>
      <c r="G16" s="1">
        <v>2400</v>
      </c>
      <c r="H16" s="1">
        <v>141445</v>
      </c>
      <c r="I16" s="1" t="s">
        <v>182</v>
      </c>
      <c r="J16" s="1">
        <v>16211</v>
      </c>
      <c r="K16" s="1">
        <v>106912</v>
      </c>
    </row>
    <row r="17" spans="1:11" x14ac:dyDescent="0.2">
      <c r="A17" s="1" t="s">
        <v>486</v>
      </c>
      <c r="B17" s="1" t="s">
        <v>183</v>
      </c>
      <c r="C17" s="15">
        <v>42220</v>
      </c>
      <c r="D17" s="1" t="s">
        <v>23</v>
      </c>
      <c r="E17" s="1" t="s">
        <v>22</v>
      </c>
      <c r="F17" s="1" t="s">
        <v>501</v>
      </c>
      <c r="G17" s="1">
        <v>1489.81</v>
      </c>
      <c r="H17" s="1">
        <v>0</v>
      </c>
      <c r="I17" s="1" t="s">
        <v>301</v>
      </c>
      <c r="J17" s="1">
        <v>16211</v>
      </c>
      <c r="K17" s="1">
        <v>106915</v>
      </c>
    </row>
    <row r="18" spans="1:11" x14ac:dyDescent="0.2">
      <c r="A18" s="1" t="s">
        <v>486</v>
      </c>
      <c r="B18" s="1" t="s">
        <v>356</v>
      </c>
      <c r="C18" s="15">
        <v>42234</v>
      </c>
      <c r="D18" s="1" t="s">
        <v>23</v>
      </c>
      <c r="E18" s="1" t="s">
        <v>22</v>
      </c>
      <c r="F18" s="1" t="s">
        <v>502</v>
      </c>
      <c r="G18" s="1">
        <v>750</v>
      </c>
      <c r="H18" s="1">
        <v>0</v>
      </c>
      <c r="I18" s="1" t="s">
        <v>354</v>
      </c>
      <c r="J18" s="1">
        <v>16085</v>
      </c>
      <c r="K18" s="1">
        <v>110350</v>
      </c>
    </row>
    <row r="19" spans="1:11" x14ac:dyDescent="0.2">
      <c r="A19" s="1" t="s">
        <v>486</v>
      </c>
      <c r="B19" s="1" t="s">
        <v>485</v>
      </c>
      <c r="C19" s="15">
        <v>42234</v>
      </c>
      <c r="D19" s="1" t="s">
        <v>28</v>
      </c>
      <c r="E19" s="1" t="s">
        <v>22</v>
      </c>
      <c r="F19" s="1" t="s">
        <v>503</v>
      </c>
      <c r="G19" s="1">
        <v>0</v>
      </c>
      <c r="H19" s="1">
        <v>0</v>
      </c>
      <c r="I19" s="1" t="s">
        <v>484</v>
      </c>
      <c r="J19" s="1">
        <v>16065</v>
      </c>
      <c r="K19" s="1">
        <v>110326</v>
      </c>
    </row>
    <row r="20" spans="1:11" x14ac:dyDescent="0.2">
      <c r="A20" s="1" t="s">
        <v>486</v>
      </c>
      <c r="B20" s="1" t="s">
        <v>209</v>
      </c>
      <c r="C20" s="15">
        <v>42221</v>
      </c>
      <c r="D20" s="1" t="s">
        <v>23</v>
      </c>
      <c r="E20" s="1" t="s">
        <v>24</v>
      </c>
      <c r="F20" s="1" t="s">
        <v>504</v>
      </c>
      <c r="G20" s="1">
        <v>1200</v>
      </c>
      <c r="H20" s="1">
        <v>141476</v>
      </c>
      <c r="I20" s="1" t="s">
        <v>184</v>
      </c>
      <c r="J20" s="1">
        <v>16223</v>
      </c>
      <c r="K20" s="1">
        <v>107764</v>
      </c>
    </row>
    <row r="21" spans="1:11" x14ac:dyDescent="0.2">
      <c r="A21" s="1" t="s">
        <v>486</v>
      </c>
      <c r="B21" s="1" t="s">
        <v>209</v>
      </c>
      <c r="C21" s="15">
        <v>42221</v>
      </c>
      <c r="D21" s="1" t="s">
        <v>23</v>
      </c>
      <c r="E21" s="1" t="s">
        <v>22</v>
      </c>
      <c r="F21" s="1" t="s">
        <v>505</v>
      </c>
      <c r="G21" s="1">
        <v>1299.21</v>
      </c>
      <c r="H21" s="1">
        <v>0</v>
      </c>
      <c r="I21" s="1" t="s">
        <v>317</v>
      </c>
      <c r="J21" s="1">
        <v>16223</v>
      </c>
      <c r="K21" s="1">
        <v>107770</v>
      </c>
    </row>
    <row r="22" spans="1:11" x14ac:dyDescent="0.2">
      <c r="A22" s="1" t="s">
        <v>486</v>
      </c>
      <c r="B22" s="1" t="s">
        <v>241</v>
      </c>
      <c r="C22" s="15">
        <v>42229</v>
      </c>
      <c r="D22" s="1" t="s">
        <v>23</v>
      </c>
      <c r="E22" s="1" t="s">
        <v>22</v>
      </c>
      <c r="F22" s="1" t="s">
        <v>506</v>
      </c>
      <c r="G22" s="1">
        <v>2125.0100000000002</v>
      </c>
      <c r="H22" s="1">
        <v>0</v>
      </c>
      <c r="I22" s="1" t="s">
        <v>31</v>
      </c>
      <c r="J22" s="1">
        <v>16290</v>
      </c>
      <c r="K22" s="1">
        <v>107343</v>
      </c>
    </row>
    <row r="23" spans="1:11" x14ac:dyDescent="0.2">
      <c r="A23" s="1" t="s">
        <v>486</v>
      </c>
      <c r="B23" s="1" t="s">
        <v>241</v>
      </c>
      <c r="C23" s="15">
        <v>42229</v>
      </c>
      <c r="D23" s="1" t="s">
        <v>23</v>
      </c>
      <c r="E23" s="1" t="s">
        <v>24</v>
      </c>
      <c r="F23" s="1" t="s">
        <v>507</v>
      </c>
      <c r="G23" s="1">
        <v>1080</v>
      </c>
      <c r="H23" s="1">
        <v>141567</v>
      </c>
      <c r="I23" s="1" t="s">
        <v>240</v>
      </c>
      <c r="J23" s="1">
        <v>16290</v>
      </c>
      <c r="K23" s="1">
        <v>110706</v>
      </c>
    </row>
    <row r="24" spans="1:11" x14ac:dyDescent="0.2">
      <c r="A24" s="1" t="s">
        <v>486</v>
      </c>
      <c r="B24" s="1" t="s">
        <v>366</v>
      </c>
      <c r="C24" s="15">
        <v>42234</v>
      </c>
      <c r="D24" s="1" t="s">
        <v>23</v>
      </c>
      <c r="E24" s="1" t="s">
        <v>22</v>
      </c>
      <c r="F24" s="1" t="s">
        <v>508</v>
      </c>
      <c r="G24" s="1">
        <v>498.47</v>
      </c>
      <c r="H24" s="1">
        <v>0</v>
      </c>
      <c r="I24" s="1" t="s">
        <v>350</v>
      </c>
      <c r="J24" s="1">
        <v>16095</v>
      </c>
      <c r="K24" s="1">
        <v>110358</v>
      </c>
    </row>
    <row r="25" spans="1:11" x14ac:dyDescent="0.2">
      <c r="A25" s="1" t="s">
        <v>486</v>
      </c>
      <c r="B25" s="1" t="s">
        <v>230</v>
      </c>
      <c r="C25" s="15">
        <v>42271</v>
      </c>
      <c r="D25" s="1" t="s">
        <v>23</v>
      </c>
      <c r="E25" s="1" t="s">
        <v>26</v>
      </c>
      <c r="F25" s="1" t="s">
        <v>509</v>
      </c>
      <c r="G25" s="1">
        <v>0</v>
      </c>
      <c r="H25" s="1">
        <v>145168</v>
      </c>
      <c r="J25" s="1">
        <v>16636</v>
      </c>
      <c r="K25" s="1">
        <v>109922</v>
      </c>
    </row>
    <row r="26" spans="1:11" x14ac:dyDescent="0.2">
      <c r="A26" s="1" t="s">
        <v>486</v>
      </c>
      <c r="B26" s="1" t="s">
        <v>230</v>
      </c>
      <c r="C26" s="15">
        <v>42271</v>
      </c>
      <c r="D26" s="1" t="s">
        <v>23</v>
      </c>
      <c r="E26" s="1" t="s">
        <v>24</v>
      </c>
      <c r="F26" s="1" t="s">
        <v>510</v>
      </c>
      <c r="G26" s="1">
        <v>900</v>
      </c>
      <c r="H26" s="1">
        <v>145168</v>
      </c>
      <c r="I26" s="1" t="s">
        <v>229</v>
      </c>
      <c r="J26" s="1">
        <v>16636</v>
      </c>
      <c r="K26" s="1">
        <v>109920</v>
      </c>
    </row>
    <row r="27" spans="1:11" x14ac:dyDescent="0.2">
      <c r="A27" s="1" t="s">
        <v>486</v>
      </c>
      <c r="B27" s="1" t="s">
        <v>230</v>
      </c>
      <c r="C27" s="15">
        <v>42271</v>
      </c>
      <c r="D27" s="1" t="s">
        <v>23</v>
      </c>
      <c r="E27" s="1" t="s">
        <v>22</v>
      </c>
      <c r="F27" s="1" t="s">
        <v>511</v>
      </c>
      <c r="G27" s="1">
        <v>0</v>
      </c>
      <c r="H27" s="1">
        <v>0</v>
      </c>
      <c r="I27" s="1" t="s">
        <v>328</v>
      </c>
      <c r="J27" s="1">
        <v>16636</v>
      </c>
      <c r="K27" s="1">
        <v>109923</v>
      </c>
    </row>
    <row r="28" spans="1:11" x14ac:dyDescent="0.2">
      <c r="A28" s="1" t="s">
        <v>486</v>
      </c>
      <c r="B28" s="1" t="s">
        <v>291</v>
      </c>
      <c r="C28" s="15">
        <v>42234</v>
      </c>
      <c r="D28" s="1" t="s">
        <v>23</v>
      </c>
      <c r="E28" s="1" t="s">
        <v>22</v>
      </c>
      <c r="F28" s="1" t="s">
        <v>512</v>
      </c>
      <c r="G28" s="1">
        <v>374.98</v>
      </c>
      <c r="H28" s="1">
        <v>0</v>
      </c>
      <c r="I28" s="1" t="s">
        <v>31</v>
      </c>
      <c r="J28" s="1">
        <v>16083</v>
      </c>
      <c r="K28" s="1">
        <v>110348</v>
      </c>
    </row>
    <row r="29" spans="1:11" x14ac:dyDescent="0.2">
      <c r="A29" s="1" t="s">
        <v>486</v>
      </c>
      <c r="B29" s="1" t="s">
        <v>256</v>
      </c>
      <c r="C29" s="15">
        <v>42269</v>
      </c>
      <c r="D29" s="1" t="s">
        <v>23</v>
      </c>
      <c r="E29" s="1" t="s">
        <v>26</v>
      </c>
      <c r="F29" s="1" t="s">
        <v>515</v>
      </c>
      <c r="G29" s="1">
        <v>0</v>
      </c>
      <c r="H29" s="1">
        <v>0</v>
      </c>
      <c r="J29" s="1">
        <v>16911</v>
      </c>
      <c r="K29" s="1">
        <v>111846</v>
      </c>
    </row>
    <row r="30" spans="1:11" x14ac:dyDescent="0.2">
      <c r="A30" s="1" t="s">
        <v>486</v>
      </c>
      <c r="B30" s="1" t="s">
        <v>256</v>
      </c>
      <c r="C30" s="15">
        <v>42269</v>
      </c>
      <c r="D30" s="1" t="s">
        <v>23</v>
      </c>
      <c r="E30" s="1" t="s">
        <v>24</v>
      </c>
      <c r="F30" s="1" t="s">
        <v>513</v>
      </c>
      <c r="G30" s="1">
        <v>1440</v>
      </c>
      <c r="H30" s="1">
        <v>148525</v>
      </c>
      <c r="I30" s="1" t="s">
        <v>240</v>
      </c>
      <c r="J30" s="1">
        <v>16911</v>
      </c>
      <c r="K30" s="1">
        <v>111844</v>
      </c>
    </row>
    <row r="31" spans="1:11" x14ac:dyDescent="0.2">
      <c r="A31" s="1" t="s">
        <v>486</v>
      </c>
      <c r="B31" s="1" t="s">
        <v>256</v>
      </c>
      <c r="C31" s="15">
        <v>42269</v>
      </c>
      <c r="D31" s="1" t="s">
        <v>23</v>
      </c>
      <c r="E31" s="1" t="s">
        <v>22</v>
      </c>
      <c r="F31" s="1" t="s">
        <v>514</v>
      </c>
      <c r="G31" s="1">
        <v>749.17</v>
      </c>
      <c r="H31" s="1">
        <v>0</v>
      </c>
      <c r="I31" s="1" t="s">
        <v>426</v>
      </c>
      <c r="J31" s="1">
        <v>16911</v>
      </c>
      <c r="K31" s="1">
        <v>111847</v>
      </c>
    </row>
    <row r="32" spans="1:11" x14ac:dyDescent="0.2">
      <c r="A32" s="1" t="s">
        <v>486</v>
      </c>
      <c r="B32" s="1" t="s">
        <v>359</v>
      </c>
      <c r="C32" s="15">
        <v>42234</v>
      </c>
      <c r="D32" s="1" t="s">
        <v>23</v>
      </c>
      <c r="E32" s="1" t="s">
        <v>22</v>
      </c>
      <c r="F32" s="1" t="s">
        <v>516</v>
      </c>
      <c r="G32" s="1">
        <v>465.09</v>
      </c>
      <c r="H32" s="1">
        <v>0</v>
      </c>
      <c r="I32" s="1" t="s">
        <v>358</v>
      </c>
      <c r="J32" s="1">
        <v>16087</v>
      </c>
      <c r="K32" s="1">
        <v>110352</v>
      </c>
    </row>
    <row r="33" spans="1:11" x14ac:dyDescent="0.2">
      <c r="A33" s="1" t="s">
        <v>486</v>
      </c>
      <c r="B33" s="1" t="s">
        <v>355</v>
      </c>
      <c r="C33" s="15">
        <v>42234</v>
      </c>
      <c r="D33" s="1" t="s">
        <v>23</v>
      </c>
      <c r="E33" s="1" t="s">
        <v>22</v>
      </c>
      <c r="F33" s="1" t="s">
        <v>517</v>
      </c>
      <c r="G33" s="1">
        <v>1122.28</v>
      </c>
      <c r="H33" s="1">
        <v>0</v>
      </c>
      <c r="I33" s="1" t="s">
        <v>354</v>
      </c>
      <c r="J33" s="1">
        <v>16084</v>
      </c>
      <c r="K33" s="1">
        <v>110349</v>
      </c>
    </row>
    <row r="34" spans="1:11" x14ac:dyDescent="0.2">
      <c r="A34" s="1" t="s">
        <v>486</v>
      </c>
      <c r="B34" s="1" t="s">
        <v>104</v>
      </c>
      <c r="C34" s="15">
        <v>42276</v>
      </c>
      <c r="D34" s="1" t="s">
        <v>23</v>
      </c>
      <c r="E34" s="1" t="s">
        <v>24</v>
      </c>
      <c r="F34" s="1" t="s">
        <v>518</v>
      </c>
      <c r="G34" s="1">
        <v>2600</v>
      </c>
      <c r="H34" s="1">
        <v>145788</v>
      </c>
      <c r="I34" s="1" t="s">
        <v>220</v>
      </c>
      <c r="J34" s="1">
        <v>16637</v>
      </c>
      <c r="K34" s="1">
        <v>109928</v>
      </c>
    </row>
    <row r="35" spans="1:11" x14ac:dyDescent="0.2">
      <c r="A35" s="1" t="s">
        <v>486</v>
      </c>
      <c r="B35" s="1" t="s">
        <v>104</v>
      </c>
      <c r="C35" s="15">
        <v>42276</v>
      </c>
      <c r="D35" s="1" t="s">
        <v>23</v>
      </c>
      <c r="E35" s="1" t="s">
        <v>22</v>
      </c>
      <c r="F35" s="1" t="s">
        <v>519</v>
      </c>
      <c r="G35" s="1">
        <v>1624.74</v>
      </c>
      <c r="H35" s="1">
        <v>0</v>
      </c>
      <c r="I35" s="1" t="s">
        <v>329</v>
      </c>
      <c r="J35" s="1">
        <v>16637</v>
      </c>
      <c r="K35" s="1">
        <v>109931</v>
      </c>
    </row>
    <row r="36" spans="1:11" x14ac:dyDescent="0.2">
      <c r="A36" s="1" t="s">
        <v>486</v>
      </c>
      <c r="B36" s="1" t="s">
        <v>104</v>
      </c>
      <c r="C36" s="15">
        <v>42276</v>
      </c>
      <c r="D36" s="1" t="s">
        <v>23</v>
      </c>
      <c r="E36" s="1" t="s">
        <v>27</v>
      </c>
      <c r="F36" s="1" t="s">
        <v>520</v>
      </c>
      <c r="G36" s="1">
        <v>422.35</v>
      </c>
      <c r="H36" s="1">
        <v>145788</v>
      </c>
      <c r="I36" s="1" t="s">
        <v>103</v>
      </c>
      <c r="J36" s="1">
        <v>16637</v>
      </c>
      <c r="K36" s="1">
        <v>109933</v>
      </c>
    </row>
    <row r="37" spans="1:11" x14ac:dyDescent="0.2">
      <c r="A37" s="1" t="s">
        <v>486</v>
      </c>
      <c r="B37" s="1" t="s">
        <v>104</v>
      </c>
      <c r="C37" s="15">
        <v>42276</v>
      </c>
      <c r="D37" s="1" t="s">
        <v>23</v>
      </c>
      <c r="E37" s="1" t="s">
        <v>25</v>
      </c>
      <c r="F37" s="1" t="s">
        <v>521</v>
      </c>
      <c r="G37" s="1">
        <v>183.25</v>
      </c>
      <c r="H37" s="1">
        <v>0</v>
      </c>
      <c r="I37" s="1" t="s">
        <v>522</v>
      </c>
      <c r="J37" s="1">
        <v>16637</v>
      </c>
      <c r="K37" s="1">
        <v>117510</v>
      </c>
    </row>
    <row r="38" spans="1:11" x14ac:dyDescent="0.2">
      <c r="A38" s="1" t="s">
        <v>486</v>
      </c>
      <c r="B38" s="1" t="s">
        <v>104</v>
      </c>
      <c r="C38" s="15">
        <v>42276</v>
      </c>
      <c r="D38" s="1" t="s">
        <v>23</v>
      </c>
      <c r="E38" s="1" t="s">
        <v>26</v>
      </c>
      <c r="F38" s="1" t="s">
        <v>523</v>
      </c>
      <c r="G38" s="1">
        <v>0</v>
      </c>
      <c r="H38" s="1">
        <v>145788</v>
      </c>
      <c r="J38" s="1">
        <v>16637</v>
      </c>
      <c r="K38" s="1">
        <v>109930</v>
      </c>
    </row>
    <row r="39" spans="1:11" x14ac:dyDescent="0.2">
      <c r="A39" s="1" t="s">
        <v>486</v>
      </c>
      <c r="B39" s="1" t="s">
        <v>104</v>
      </c>
      <c r="C39" s="15">
        <v>42276</v>
      </c>
      <c r="D39" s="1" t="s">
        <v>23</v>
      </c>
      <c r="E39" s="1" t="s">
        <v>25</v>
      </c>
      <c r="F39" s="1" t="s">
        <v>521</v>
      </c>
      <c r="G39" s="1">
        <v>0</v>
      </c>
      <c r="H39" s="1">
        <v>145788</v>
      </c>
      <c r="I39" s="1" t="s">
        <v>171</v>
      </c>
      <c r="J39" s="1">
        <v>16637</v>
      </c>
      <c r="K39" s="1">
        <v>109932</v>
      </c>
    </row>
    <row r="40" spans="1:11" x14ac:dyDescent="0.2">
      <c r="A40" s="1" t="s">
        <v>486</v>
      </c>
      <c r="B40" s="1" t="s">
        <v>104</v>
      </c>
      <c r="C40" s="15">
        <v>42276</v>
      </c>
      <c r="D40" s="1" t="s">
        <v>23</v>
      </c>
      <c r="E40" s="1" t="s">
        <v>27</v>
      </c>
      <c r="F40" s="1" t="s">
        <v>520</v>
      </c>
      <c r="G40" s="1">
        <v>21</v>
      </c>
      <c r="H40" s="1">
        <v>0</v>
      </c>
      <c r="I40" s="1" t="s">
        <v>524</v>
      </c>
      <c r="J40" s="1">
        <v>16637</v>
      </c>
      <c r="K40" s="1">
        <v>114117</v>
      </c>
    </row>
    <row r="41" spans="1:11" x14ac:dyDescent="0.2">
      <c r="A41" s="1" t="s">
        <v>486</v>
      </c>
      <c r="B41" s="1" t="s">
        <v>365</v>
      </c>
      <c r="C41" s="15">
        <v>42234</v>
      </c>
      <c r="D41" s="1" t="s">
        <v>23</v>
      </c>
      <c r="E41" s="1" t="s">
        <v>22</v>
      </c>
      <c r="F41" s="1" t="s">
        <v>525</v>
      </c>
      <c r="G41" s="1">
        <v>300</v>
      </c>
      <c r="H41" s="1">
        <v>0</v>
      </c>
      <c r="I41" s="1" t="s">
        <v>364</v>
      </c>
      <c r="J41" s="1">
        <v>16093</v>
      </c>
      <c r="K41" s="1">
        <v>110357</v>
      </c>
    </row>
    <row r="42" spans="1:11" x14ac:dyDescent="0.2">
      <c r="A42" s="1" t="s">
        <v>486</v>
      </c>
      <c r="B42" s="1" t="s">
        <v>154</v>
      </c>
      <c r="C42" s="15">
        <v>42262</v>
      </c>
      <c r="D42" s="1" t="s">
        <v>23</v>
      </c>
      <c r="E42" s="1" t="s">
        <v>26</v>
      </c>
      <c r="F42" s="1" t="s">
        <v>526</v>
      </c>
      <c r="G42" s="1">
        <v>0</v>
      </c>
      <c r="H42" s="1">
        <v>144790</v>
      </c>
      <c r="J42" s="1">
        <v>16628</v>
      </c>
      <c r="K42" s="1">
        <v>109810</v>
      </c>
    </row>
    <row r="43" spans="1:11" x14ac:dyDescent="0.2">
      <c r="A43" s="1" t="s">
        <v>486</v>
      </c>
      <c r="B43" s="1" t="s">
        <v>154</v>
      </c>
      <c r="C43" s="15">
        <v>42262</v>
      </c>
      <c r="D43" s="1" t="s">
        <v>23</v>
      </c>
      <c r="E43" s="1" t="s">
        <v>25</v>
      </c>
      <c r="F43" s="1" t="s">
        <v>527</v>
      </c>
      <c r="G43" s="1">
        <v>203.17</v>
      </c>
      <c r="H43" s="1">
        <v>144790</v>
      </c>
      <c r="I43" s="1" t="s">
        <v>33</v>
      </c>
      <c r="J43" s="1">
        <v>16628</v>
      </c>
      <c r="K43" s="1">
        <v>109925</v>
      </c>
    </row>
    <row r="44" spans="1:11" x14ac:dyDescent="0.2">
      <c r="A44" s="1" t="s">
        <v>486</v>
      </c>
      <c r="B44" s="1" t="s">
        <v>154</v>
      </c>
      <c r="C44" s="15">
        <v>42262</v>
      </c>
      <c r="D44" s="1" t="s">
        <v>23</v>
      </c>
      <c r="E44" s="1" t="s">
        <v>27</v>
      </c>
      <c r="F44" s="1" t="s">
        <v>528</v>
      </c>
      <c r="G44" s="1">
        <v>21</v>
      </c>
      <c r="H44" s="1">
        <v>0</v>
      </c>
      <c r="I44" s="1" t="s">
        <v>529</v>
      </c>
      <c r="J44" s="1">
        <v>16628</v>
      </c>
      <c r="K44" s="1">
        <v>114115</v>
      </c>
    </row>
    <row r="45" spans="1:11" x14ac:dyDescent="0.2">
      <c r="A45" s="1" t="s">
        <v>486</v>
      </c>
      <c r="B45" s="1" t="s">
        <v>154</v>
      </c>
      <c r="C45" s="15">
        <v>42262</v>
      </c>
      <c r="D45" s="1" t="s">
        <v>23</v>
      </c>
      <c r="E45" s="1" t="s">
        <v>24</v>
      </c>
      <c r="F45" s="1" t="s">
        <v>530</v>
      </c>
      <c r="G45" s="1">
        <v>2600</v>
      </c>
      <c r="H45" s="1">
        <v>144790</v>
      </c>
      <c r="I45" s="1" t="s">
        <v>227</v>
      </c>
      <c r="J45" s="1">
        <v>16628</v>
      </c>
      <c r="K45" s="1">
        <v>109808</v>
      </c>
    </row>
    <row r="46" spans="1:11" x14ac:dyDescent="0.2">
      <c r="A46" s="1" t="s">
        <v>486</v>
      </c>
      <c r="B46" s="1" t="s">
        <v>154</v>
      </c>
      <c r="C46" s="15">
        <v>42262</v>
      </c>
      <c r="D46" s="1" t="s">
        <v>23</v>
      </c>
      <c r="E46" s="1" t="s">
        <v>22</v>
      </c>
      <c r="F46" s="1" t="s">
        <v>531</v>
      </c>
      <c r="G46" s="1">
        <v>0</v>
      </c>
      <c r="H46" s="1">
        <v>0</v>
      </c>
      <c r="I46" s="1" t="s">
        <v>326</v>
      </c>
      <c r="J46" s="1">
        <v>16628</v>
      </c>
      <c r="K46" s="1">
        <v>109811</v>
      </c>
    </row>
    <row r="47" spans="1:11" x14ac:dyDescent="0.2">
      <c r="A47" s="1" t="s">
        <v>486</v>
      </c>
      <c r="B47" s="1" t="s">
        <v>154</v>
      </c>
      <c r="C47" s="15">
        <v>42262</v>
      </c>
      <c r="D47" s="1" t="s">
        <v>23</v>
      </c>
      <c r="E47" s="1" t="s">
        <v>27</v>
      </c>
      <c r="F47" s="1" t="s">
        <v>528</v>
      </c>
      <c r="G47" s="1">
        <v>433.1</v>
      </c>
      <c r="H47" s="1">
        <v>144790</v>
      </c>
      <c r="I47" s="1" t="s">
        <v>153</v>
      </c>
      <c r="J47" s="1">
        <v>16628</v>
      </c>
      <c r="K47" s="1">
        <v>111393</v>
      </c>
    </row>
    <row r="48" spans="1:11" x14ac:dyDescent="0.2">
      <c r="A48" s="1" t="s">
        <v>486</v>
      </c>
      <c r="B48" s="1" t="s">
        <v>156</v>
      </c>
      <c r="C48" s="15">
        <v>42263</v>
      </c>
      <c r="D48" s="1" t="s">
        <v>23</v>
      </c>
      <c r="E48" s="1" t="s">
        <v>24</v>
      </c>
      <c r="F48" s="1" t="s">
        <v>532</v>
      </c>
      <c r="G48" s="1">
        <v>2600</v>
      </c>
      <c r="H48" s="1">
        <v>145034</v>
      </c>
      <c r="I48" s="1" t="s">
        <v>228</v>
      </c>
      <c r="J48" s="1">
        <v>16635</v>
      </c>
      <c r="K48" s="1">
        <v>109915</v>
      </c>
    </row>
    <row r="49" spans="1:11" x14ac:dyDescent="0.2">
      <c r="A49" s="1" t="s">
        <v>486</v>
      </c>
      <c r="B49" s="1" t="s">
        <v>156</v>
      </c>
      <c r="C49" s="15">
        <v>42263</v>
      </c>
      <c r="D49" s="1" t="s">
        <v>23</v>
      </c>
      <c r="E49" s="1" t="s">
        <v>22</v>
      </c>
      <c r="F49" s="1" t="s">
        <v>533</v>
      </c>
      <c r="G49" s="1">
        <v>1921.5</v>
      </c>
      <c r="H49" s="1">
        <v>0</v>
      </c>
      <c r="I49" s="1" t="s">
        <v>327</v>
      </c>
      <c r="J49" s="1">
        <v>16635</v>
      </c>
      <c r="K49" s="1">
        <v>109918</v>
      </c>
    </row>
    <row r="50" spans="1:11" x14ac:dyDescent="0.2">
      <c r="A50" s="1" t="s">
        <v>486</v>
      </c>
      <c r="B50" s="1" t="s">
        <v>156</v>
      </c>
      <c r="C50" s="15">
        <v>42263</v>
      </c>
      <c r="D50" s="1" t="s">
        <v>23</v>
      </c>
      <c r="E50" s="1" t="s">
        <v>27</v>
      </c>
      <c r="F50" s="1" t="s">
        <v>534</v>
      </c>
      <c r="G50" s="1">
        <v>433.1</v>
      </c>
      <c r="H50" s="1">
        <v>145034</v>
      </c>
      <c r="I50" s="1" t="s">
        <v>155</v>
      </c>
      <c r="J50" s="1">
        <v>16635</v>
      </c>
      <c r="K50" s="1">
        <v>111396</v>
      </c>
    </row>
    <row r="51" spans="1:11" x14ac:dyDescent="0.2">
      <c r="A51" s="1" t="s">
        <v>486</v>
      </c>
      <c r="B51" s="1" t="s">
        <v>156</v>
      </c>
      <c r="C51" s="15">
        <v>42263</v>
      </c>
      <c r="D51" s="1" t="s">
        <v>23</v>
      </c>
      <c r="E51" s="1" t="s">
        <v>26</v>
      </c>
      <c r="F51" s="1" t="s">
        <v>535</v>
      </c>
      <c r="G51" s="1">
        <v>0</v>
      </c>
      <c r="H51" s="1">
        <v>145034</v>
      </c>
      <c r="J51" s="1">
        <v>16635</v>
      </c>
      <c r="K51" s="1">
        <v>109917</v>
      </c>
    </row>
    <row r="52" spans="1:11" x14ac:dyDescent="0.2">
      <c r="A52" s="1" t="s">
        <v>486</v>
      </c>
      <c r="B52" s="1" t="s">
        <v>156</v>
      </c>
      <c r="C52" s="15">
        <v>42263</v>
      </c>
      <c r="D52" s="1" t="s">
        <v>23</v>
      </c>
      <c r="E52" s="1" t="s">
        <v>25</v>
      </c>
      <c r="F52" s="1" t="s">
        <v>536</v>
      </c>
      <c r="G52" s="1">
        <v>0</v>
      </c>
      <c r="H52" s="1">
        <v>145034</v>
      </c>
      <c r="I52" s="1" t="s">
        <v>170</v>
      </c>
      <c r="J52" s="1">
        <v>16635</v>
      </c>
      <c r="K52" s="1">
        <v>109926</v>
      </c>
    </row>
    <row r="53" spans="1:11" x14ac:dyDescent="0.2">
      <c r="A53" s="1" t="s">
        <v>486</v>
      </c>
      <c r="B53" s="1" t="s">
        <v>156</v>
      </c>
      <c r="C53" s="15">
        <v>42263</v>
      </c>
      <c r="D53" s="1" t="s">
        <v>23</v>
      </c>
      <c r="E53" s="1" t="s">
        <v>27</v>
      </c>
      <c r="F53" s="1" t="s">
        <v>534</v>
      </c>
      <c r="G53" s="1">
        <v>21</v>
      </c>
      <c r="H53" s="1">
        <v>0</v>
      </c>
      <c r="I53" s="1" t="s">
        <v>529</v>
      </c>
      <c r="J53" s="1">
        <v>16635</v>
      </c>
      <c r="K53" s="1">
        <v>114116</v>
      </c>
    </row>
    <row r="54" spans="1:11" x14ac:dyDescent="0.2">
      <c r="A54" s="1" t="s">
        <v>486</v>
      </c>
      <c r="B54" s="1" t="s">
        <v>270</v>
      </c>
      <c r="C54" s="15">
        <v>42277</v>
      </c>
      <c r="D54" s="1" t="s">
        <v>23</v>
      </c>
      <c r="E54" s="1" t="s">
        <v>26</v>
      </c>
      <c r="F54" s="1" t="s">
        <v>540</v>
      </c>
      <c r="G54" s="1">
        <v>0</v>
      </c>
      <c r="H54" s="1">
        <v>150944</v>
      </c>
      <c r="J54" s="1">
        <v>17112</v>
      </c>
      <c r="K54" s="1">
        <v>113142</v>
      </c>
    </row>
    <row r="55" spans="1:11" x14ac:dyDescent="0.2">
      <c r="A55" s="1" t="s">
        <v>486</v>
      </c>
      <c r="B55" s="1" t="s">
        <v>270</v>
      </c>
      <c r="C55" s="15">
        <v>42277</v>
      </c>
      <c r="D55" s="1" t="s">
        <v>23</v>
      </c>
      <c r="E55" s="1" t="s">
        <v>27</v>
      </c>
      <c r="F55" s="1" t="s">
        <v>539</v>
      </c>
      <c r="G55" s="1">
        <v>0</v>
      </c>
      <c r="H55" s="1">
        <v>0</v>
      </c>
      <c r="I55" s="1" t="s">
        <v>541</v>
      </c>
      <c r="J55" s="1">
        <v>17112</v>
      </c>
      <c r="K55" s="1">
        <v>113146</v>
      </c>
    </row>
    <row r="56" spans="1:11" x14ac:dyDescent="0.2">
      <c r="A56" s="1" t="s">
        <v>486</v>
      </c>
      <c r="B56" s="1" t="s">
        <v>270</v>
      </c>
      <c r="C56" s="15">
        <v>42277</v>
      </c>
      <c r="D56" s="1" t="s">
        <v>23</v>
      </c>
      <c r="E56" s="1" t="s">
        <v>27</v>
      </c>
      <c r="F56" s="1" t="s">
        <v>539</v>
      </c>
      <c r="G56" s="1">
        <v>21</v>
      </c>
      <c r="H56" s="1">
        <v>0</v>
      </c>
      <c r="I56" s="1" t="s">
        <v>524</v>
      </c>
      <c r="J56" s="1">
        <v>17112</v>
      </c>
      <c r="K56" s="1">
        <v>113147</v>
      </c>
    </row>
    <row r="57" spans="1:11" x14ac:dyDescent="0.2">
      <c r="A57" s="1" t="s">
        <v>486</v>
      </c>
      <c r="B57" s="1" t="s">
        <v>270</v>
      </c>
      <c r="C57" s="15">
        <v>42277</v>
      </c>
      <c r="D57" s="1" t="s">
        <v>23</v>
      </c>
      <c r="E57" s="1" t="s">
        <v>24</v>
      </c>
      <c r="F57" s="1" t="s">
        <v>537</v>
      </c>
      <c r="G57" s="1">
        <v>1950</v>
      </c>
      <c r="H57" s="1">
        <v>150944</v>
      </c>
      <c r="I57" s="1" t="s">
        <v>220</v>
      </c>
      <c r="J57" s="1">
        <v>17112</v>
      </c>
      <c r="K57" s="1">
        <v>113140</v>
      </c>
    </row>
    <row r="58" spans="1:11" x14ac:dyDescent="0.2">
      <c r="A58" s="1" t="s">
        <v>486</v>
      </c>
      <c r="B58" s="1" t="s">
        <v>270</v>
      </c>
      <c r="C58" s="15">
        <v>42277</v>
      </c>
      <c r="D58" s="1" t="s">
        <v>23</v>
      </c>
      <c r="E58" s="1" t="s">
        <v>25</v>
      </c>
      <c r="F58" s="1" t="s">
        <v>538</v>
      </c>
      <c r="G58" s="1">
        <v>0</v>
      </c>
      <c r="H58" s="1">
        <v>0</v>
      </c>
      <c r="I58" s="1" t="s">
        <v>442</v>
      </c>
      <c r="J58" s="1">
        <v>17112</v>
      </c>
      <c r="K58" s="1">
        <v>113145</v>
      </c>
    </row>
    <row r="59" spans="1:11" x14ac:dyDescent="0.2">
      <c r="A59" s="1" t="s">
        <v>486</v>
      </c>
      <c r="B59" s="1" t="s">
        <v>158</v>
      </c>
      <c r="C59" s="15">
        <v>42277</v>
      </c>
      <c r="D59" s="1" t="s">
        <v>23</v>
      </c>
      <c r="E59" s="1" t="s">
        <v>26</v>
      </c>
      <c r="F59" s="1" t="s">
        <v>544</v>
      </c>
      <c r="G59" s="1">
        <v>0</v>
      </c>
      <c r="H59" s="1">
        <v>145598</v>
      </c>
      <c r="J59" s="1">
        <v>16675</v>
      </c>
      <c r="K59" s="1">
        <v>110173</v>
      </c>
    </row>
    <row r="60" spans="1:11" x14ac:dyDescent="0.2">
      <c r="A60" s="1" t="s">
        <v>486</v>
      </c>
      <c r="B60" s="1" t="s">
        <v>158</v>
      </c>
      <c r="C60" s="15">
        <v>42277</v>
      </c>
      <c r="D60" s="1" t="s">
        <v>23</v>
      </c>
      <c r="E60" s="1" t="s">
        <v>24</v>
      </c>
      <c r="F60" s="1" t="s">
        <v>542</v>
      </c>
      <c r="G60" s="1">
        <v>2600</v>
      </c>
      <c r="H60" s="1">
        <v>145598</v>
      </c>
      <c r="I60" s="1" t="s">
        <v>220</v>
      </c>
      <c r="J60" s="1">
        <v>16675</v>
      </c>
      <c r="K60" s="1">
        <v>110171</v>
      </c>
    </row>
    <row r="61" spans="1:11" x14ac:dyDescent="0.2">
      <c r="A61" s="1" t="s">
        <v>486</v>
      </c>
      <c r="B61" s="1" t="s">
        <v>158</v>
      </c>
      <c r="C61" s="15">
        <v>42277</v>
      </c>
      <c r="D61" s="1" t="s">
        <v>23</v>
      </c>
      <c r="E61" s="1" t="s">
        <v>25</v>
      </c>
      <c r="F61" s="1" t="s">
        <v>543</v>
      </c>
      <c r="G61" s="1">
        <v>183.25</v>
      </c>
      <c r="H61" s="1">
        <v>0</v>
      </c>
      <c r="I61" s="1" t="s">
        <v>522</v>
      </c>
      <c r="J61" s="1">
        <v>16675</v>
      </c>
      <c r="K61" s="1">
        <v>117511</v>
      </c>
    </row>
    <row r="62" spans="1:11" x14ac:dyDescent="0.2">
      <c r="A62" s="1" t="s">
        <v>486</v>
      </c>
      <c r="B62" s="1" t="s">
        <v>158</v>
      </c>
      <c r="C62" s="15">
        <v>42277</v>
      </c>
      <c r="D62" s="1" t="s">
        <v>23</v>
      </c>
      <c r="E62" s="1" t="s">
        <v>22</v>
      </c>
      <c r="F62" s="1" t="s">
        <v>546</v>
      </c>
      <c r="G62" s="1">
        <v>0</v>
      </c>
      <c r="H62" s="1">
        <v>0</v>
      </c>
      <c r="I62" s="1" t="s">
        <v>287</v>
      </c>
      <c r="J62" s="1">
        <v>16675</v>
      </c>
      <c r="K62" s="1">
        <v>110174</v>
      </c>
    </row>
    <row r="63" spans="1:11" x14ac:dyDescent="0.2">
      <c r="A63" s="1" t="s">
        <v>486</v>
      </c>
      <c r="B63" s="1" t="s">
        <v>158</v>
      </c>
      <c r="C63" s="15">
        <v>42277</v>
      </c>
      <c r="D63" s="1" t="s">
        <v>23</v>
      </c>
      <c r="E63" s="1" t="s">
        <v>25</v>
      </c>
      <c r="F63" s="1" t="s">
        <v>543</v>
      </c>
      <c r="G63" s="1">
        <v>0</v>
      </c>
      <c r="H63" s="1">
        <v>145598</v>
      </c>
      <c r="I63" s="1" t="s">
        <v>169</v>
      </c>
      <c r="J63" s="1">
        <v>16675</v>
      </c>
      <c r="K63" s="1">
        <v>111408</v>
      </c>
    </row>
    <row r="64" spans="1:11" x14ac:dyDescent="0.2">
      <c r="A64" s="1" t="s">
        <v>486</v>
      </c>
      <c r="B64" s="1" t="s">
        <v>158</v>
      </c>
      <c r="C64" s="15">
        <v>42277</v>
      </c>
      <c r="D64" s="1" t="s">
        <v>23</v>
      </c>
      <c r="E64" s="1" t="s">
        <v>27</v>
      </c>
      <c r="F64" s="1" t="s">
        <v>545</v>
      </c>
      <c r="G64" s="1">
        <v>422.35</v>
      </c>
      <c r="H64" s="1">
        <v>145598</v>
      </c>
      <c r="I64" s="1" t="s">
        <v>157</v>
      </c>
      <c r="J64" s="1">
        <v>16675</v>
      </c>
      <c r="K64" s="1">
        <v>111409</v>
      </c>
    </row>
    <row r="65" spans="1:11" x14ac:dyDescent="0.2">
      <c r="A65" s="1" t="s">
        <v>486</v>
      </c>
      <c r="B65" s="1" t="s">
        <v>363</v>
      </c>
      <c r="C65" s="15">
        <v>42234</v>
      </c>
      <c r="D65" s="1" t="s">
        <v>23</v>
      </c>
      <c r="E65" s="1" t="s">
        <v>22</v>
      </c>
      <c r="F65" s="1" t="s">
        <v>547</v>
      </c>
      <c r="G65" s="1">
        <v>1250</v>
      </c>
      <c r="H65" s="1">
        <v>0</v>
      </c>
      <c r="I65" s="1" t="s">
        <v>31</v>
      </c>
      <c r="J65" s="1">
        <v>16092</v>
      </c>
      <c r="K65" s="1">
        <v>110356</v>
      </c>
    </row>
    <row r="66" spans="1:11" x14ac:dyDescent="0.2">
      <c r="A66" s="1" t="s">
        <v>486</v>
      </c>
      <c r="B66" s="1" t="s">
        <v>159</v>
      </c>
      <c r="C66" s="15">
        <v>42271</v>
      </c>
      <c r="D66" s="1" t="s">
        <v>23</v>
      </c>
      <c r="E66" s="1" t="s">
        <v>26</v>
      </c>
      <c r="F66" s="1" t="s">
        <v>551</v>
      </c>
      <c r="G66" s="1">
        <v>0</v>
      </c>
      <c r="H66" s="1">
        <v>147927</v>
      </c>
      <c r="J66" s="1">
        <v>16849</v>
      </c>
      <c r="K66" s="1">
        <v>111452</v>
      </c>
    </row>
    <row r="67" spans="1:11" x14ac:dyDescent="0.2">
      <c r="A67" s="1" t="s">
        <v>486</v>
      </c>
      <c r="B67" s="1" t="s">
        <v>159</v>
      </c>
      <c r="C67" s="15">
        <v>42271</v>
      </c>
      <c r="D67" s="1" t="s">
        <v>23</v>
      </c>
      <c r="E67" s="1" t="s">
        <v>27</v>
      </c>
      <c r="F67" s="1" t="s">
        <v>550</v>
      </c>
      <c r="G67" s="1">
        <v>343.35</v>
      </c>
      <c r="H67" s="1">
        <v>147927</v>
      </c>
      <c r="I67" s="1" t="s">
        <v>42</v>
      </c>
      <c r="J67" s="1">
        <v>16849</v>
      </c>
      <c r="K67" s="1">
        <v>114249</v>
      </c>
    </row>
    <row r="68" spans="1:11" x14ac:dyDescent="0.2">
      <c r="A68" s="1" t="s">
        <v>486</v>
      </c>
      <c r="B68" s="1" t="s">
        <v>159</v>
      </c>
      <c r="C68" s="15">
        <v>42271</v>
      </c>
      <c r="D68" s="1" t="s">
        <v>23</v>
      </c>
      <c r="E68" s="1" t="s">
        <v>24</v>
      </c>
      <c r="F68" s="1" t="s">
        <v>548</v>
      </c>
      <c r="G68" s="1">
        <v>2250</v>
      </c>
      <c r="H68" s="1">
        <v>147927</v>
      </c>
      <c r="I68" s="1" t="s">
        <v>251</v>
      </c>
      <c r="J68" s="1">
        <v>16849</v>
      </c>
      <c r="K68" s="1">
        <v>111450</v>
      </c>
    </row>
    <row r="69" spans="1:11" x14ac:dyDescent="0.2">
      <c r="A69" s="1" t="s">
        <v>486</v>
      </c>
      <c r="B69" s="1" t="s">
        <v>159</v>
      </c>
      <c r="C69" s="15">
        <v>42271</v>
      </c>
      <c r="D69" s="1" t="s">
        <v>23</v>
      </c>
      <c r="E69" s="1" t="s">
        <v>22</v>
      </c>
      <c r="F69" s="1" t="s">
        <v>549</v>
      </c>
      <c r="G69" s="1">
        <v>54.29</v>
      </c>
      <c r="H69" s="1">
        <v>0</v>
      </c>
      <c r="I69" s="1" t="s">
        <v>35</v>
      </c>
      <c r="J69" s="1">
        <v>16849</v>
      </c>
      <c r="K69" s="1">
        <v>111453</v>
      </c>
    </row>
    <row r="70" spans="1:11" x14ac:dyDescent="0.2">
      <c r="A70" s="1" t="s">
        <v>486</v>
      </c>
      <c r="B70" s="1" t="s">
        <v>159</v>
      </c>
      <c r="C70" s="15">
        <v>42271</v>
      </c>
      <c r="D70" s="1" t="s">
        <v>23</v>
      </c>
      <c r="E70" s="1" t="s">
        <v>27</v>
      </c>
      <c r="F70" s="1" t="s">
        <v>550</v>
      </c>
      <c r="G70" s="1">
        <v>21</v>
      </c>
      <c r="H70" s="1">
        <v>147927</v>
      </c>
      <c r="I70" s="1" t="s">
        <v>98</v>
      </c>
      <c r="J70" s="1">
        <v>16849</v>
      </c>
      <c r="K70" s="1">
        <v>114271</v>
      </c>
    </row>
    <row r="71" spans="1:11" x14ac:dyDescent="0.2">
      <c r="A71" s="1" t="s">
        <v>486</v>
      </c>
      <c r="B71" s="1" t="s">
        <v>166</v>
      </c>
      <c r="C71" s="15">
        <v>42271</v>
      </c>
      <c r="D71" s="1" t="s">
        <v>23</v>
      </c>
      <c r="E71" s="1" t="s">
        <v>24</v>
      </c>
      <c r="F71" s="1" t="s">
        <v>555</v>
      </c>
      <c r="G71" s="1">
        <v>3000</v>
      </c>
      <c r="H71" s="1">
        <v>147943</v>
      </c>
      <c r="I71" s="1" t="s">
        <v>252</v>
      </c>
      <c r="J71" s="1">
        <v>16850</v>
      </c>
      <c r="K71" s="1">
        <v>111456</v>
      </c>
    </row>
    <row r="72" spans="1:11" x14ac:dyDescent="0.2">
      <c r="A72" s="1" t="s">
        <v>486</v>
      </c>
      <c r="B72" s="1" t="s">
        <v>166</v>
      </c>
      <c r="C72" s="15">
        <v>42271</v>
      </c>
      <c r="D72" s="1" t="s">
        <v>23</v>
      </c>
      <c r="E72" s="1" t="s">
        <v>22</v>
      </c>
      <c r="F72" s="1" t="s">
        <v>556</v>
      </c>
      <c r="G72" s="1">
        <v>0</v>
      </c>
      <c r="H72" s="1">
        <v>0</v>
      </c>
      <c r="I72" s="1" t="s">
        <v>422</v>
      </c>
      <c r="J72" s="1">
        <v>16850</v>
      </c>
      <c r="K72" s="1">
        <v>111459</v>
      </c>
    </row>
    <row r="73" spans="1:11" x14ac:dyDescent="0.2">
      <c r="A73" s="1" t="s">
        <v>486</v>
      </c>
      <c r="B73" s="1" t="s">
        <v>166</v>
      </c>
      <c r="C73" s="15">
        <v>42271</v>
      </c>
      <c r="D73" s="1" t="s">
        <v>23</v>
      </c>
      <c r="E73" s="1" t="s">
        <v>27</v>
      </c>
      <c r="F73" s="1" t="s">
        <v>553</v>
      </c>
      <c r="G73" s="1">
        <v>21</v>
      </c>
      <c r="H73" s="1">
        <v>147943</v>
      </c>
      <c r="I73" s="1" t="s">
        <v>98</v>
      </c>
      <c r="J73" s="1">
        <v>16850</v>
      </c>
      <c r="K73" s="1">
        <v>114273</v>
      </c>
    </row>
    <row r="74" spans="1:11" x14ac:dyDescent="0.2">
      <c r="A74" s="1" t="s">
        <v>486</v>
      </c>
      <c r="B74" s="1" t="s">
        <v>166</v>
      </c>
      <c r="C74" s="15">
        <v>42271</v>
      </c>
      <c r="D74" s="1" t="s">
        <v>23</v>
      </c>
      <c r="E74" s="1" t="s">
        <v>168</v>
      </c>
      <c r="F74" s="1" t="s">
        <v>557</v>
      </c>
      <c r="G74" s="1">
        <v>0</v>
      </c>
      <c r="H74" s="1">
        <v>147943</v>
      </c>
      <c r="I74" s="1" t="s">
        <v>167</v>
      </c>
      <c r="J74" s="1">
        <v>16850</v>
      </c>
      <c r="K74" s="1">
        <v>114275</v>
      </c>
    </row>
    <row r="75" spans="1:11" x14ac:dyDescent="0.2">
      <c r="A75" s="1" t="s">
        <v>486</v>
      </c>
      <c r="B75" s="1" t="s">
        <v>166</v>
      </c>
      <c r="C75" s="15">
        <v>42271</v>
      </c>
      <c r="D75" s="1" t="s">
        <v>23</v>
      </c>
      <c r="E75" s="1" t="s">
        <v>26</v>
      </c>
      <c r="F75" s="1" t="s">
        <v>552</v>
      </c>
      <c r="G75" s="1">
        <v>0</v>
      </c>
      <c r="H75" s="1">
        <v>147943</v>
      </c>
      <c r="J75" s="1">
        <v>16850</v>
      </c>
      <c r="K75" s="1">
        <v>111458</v>
      </c>
    </row>
    <row r="76" spans="1:11" x14ac:dyDescent="0.2">
      <c r="A76" s="1" t="s">
        <v>486</v>
      </c>
      <c r="B76" s="1" t="s">
        <v>166</v>
      </c>
      <c r="C76" s="15">
        <v>42271</v>
      </c>
      <c r="D76" s="1" t="s">
        <v>23</v>
      </c>
      <c r="E76" s="1" t="s">
        <v>27</v>
      </c>
      <c r="F76" s="1" t="s">
        <v>553</v>
      </c>
      <c r="G76" s="1">
        <v>343.35</v>
      </c>
      <c r="H76" s="1">
        <v>147943</v>
      </c>
      <c r="I76" s="1" t="s">
        <v>165</v>
      </c>
      <c r="J76" s="1">
        <v>16850</v>
      </c>
      <c r="K76" s="1">
        <v>114272</v>
      </c>
    </row>
    <row r="77" spans="1:11" x14ac:dyDescent="0.2">
      <c r="A77" s="1" t="s">
        <v>486</v>
      </c>
      <c r="B77" s="1" t="s">
        <v>166</v>
      </c>
      <c r="C77" s="15">
        <v>42271</v>
      </c>
      <c r="D77" s="1" t="s">
        <v>23</v>
      </c>
      <c r="E77" s="1" t="s">
        <v>25</v>
      </c>
      <c r="F77" s="1" t="s">
        <v>554</v>
      </c>
      <c r="G77" s="1">
        <v>212.06</v>
      </c>
      <c r="H77" s="1">
        <v>147943</v>
      </c>
      <c r="I77" s="1" t="s">
        <v>34</v>
      </c>
      <c r="J77" s="1">
        <v>16850</v>
      </c>
      <c r="K77" s="1">
        <v>114274</v>
      </c>
    </row>
    <row r="78" spans="1:11" x14ac:dyDescent="0.2">
      <c r="A78" s="1" t="s">
        <v>486</v>
      </c>
      <c r="B78" s="1" t="s">
        <v>395</v>
      </c>
      <c r="C78" s="15">
        <v>42234</v>
      </c>
      <c r="D78" s="1" t="s">
        <v>23</v>
      </c>
      <c r="E78" s="1" t="s">
        <v>22</v>
      </c>
      <c r="F78" s="1" t="s">
        <v>558</v>
      </c>
      <c r="G78" s="1">
        <v>874.98</v>
      </c>
      <c r="H78" s="1">
        <v>0</v>
      </c>
      <c r="I78" s="1" t="s">
        <v>294</v>
      </c>
      <c r="J78" s="1">
        <v>16118</v>
      </c>
      <c r="K78" s="1">
        <v>110379</v>
      </c>
    </row>
    <row r="79" spans="1:11" x14ac:dyDescent="0.2">
      <c r="A79" s="1" t="s">
        <v>486</v>
      </c>
      <c r="B79" s="1" t="s">
        <v>415</v>
      </c>
      <c r="C79" s="15">
        <v>42234</v>
      </c>
      <c r="D79" s="1" t="s">
        <v>23</v>
      </c>
      <c r="E79" s="1" t="s">
        <v>22</v>
      </c>
      <c r="F79" s="1" t="s">
        <v>559</v>
      </c>
      <c r="G79" s="1">
        <v>188.24</v>
      </c>
      <c r="H79" s="1">
        <v>0</v>
      </c>
      <c r="I79" s="1" t="s">
        <v>414</v>
      </c>
      <c r="J79" s="1">
        <v>16132</v>
      </c>
      <c r="K79" s="1">
        <v>110395</v>
      </c>
    </row>
    <row r="80" spans="1:11" x14ac:dyDescent="0.2">
      <c r="A80" s="1" t="s">
        <v>486</v>
      </c>
      <c r="B80" s="1" t="s">
        <v>43</v>
      </c>
      <c r="C80" s="15">
        <v>42220</v>
      </c>
      <c r="D80" s="1" t="s">
        <v>23</v>
      </c>
      <c r="E80" s="1" t="s">
        <v>22</v>
      </c>
      <c r="F80" s="1" t="s">
        <v>561</v>
      </c>
      <c r="G80" s="1">
        <v>1436.4</v>
      </c>
      <c r="H80" s="1">
        <v>0</v>
      </c>
      <c r="I80" s="1" t="s">
        <v>302</v>
      </c>
      <c r="J80" s="1">
        <v>16206</v>
      </c>
      <c r="K80" s="1">
        <v>106920</v>
      </c>
    </row>
    <row r="81" spans="1:11" x14ac:dyDescent="0.2">
      <c r="A81" s="1" t="s">
        <v>486</v>
      </c>
      <c r="B81" s="1" t="s">
        <v>43</v>
      </c>
      <c r="C81" s="15">
        <v>42220</v>
      </c>
      <c r="D81" s="1" t="s">
        <v>23</v>
      </c>
      <c r="E81" s="1" t="s">
        <v>27</v>
      </c>
      <c r="F81" s="1" t="s">
        <v>562</v>
      </c>
      <c r="G81" s="1">
        <v>0</v>
      </c>
      <c r="H81" s="1">
        <v>141448</v>
      </c>
      <c r="I81" s="1" t="s">
        <v>98</v>
      </c>
      <c r="J81" s="1">
        <v>16206</v>
      </c>
      <c r="K81" s="1">
        <v>116684</v>
      </c>
    </row>
    <row r="82" spans="1:11" x14ac:dyDescent="0.2">
      <c r="A82" s="1" t="s">
        <v>486</v>
      </c>
      <c r="B82" s="1" t="s">
        <v>43</v>
      </c>
      <c r="C82" s="15">
        <v>42220</v>
      </c>
      <c r="D82" s="1" t="s">
        <v>23</v>
      </c>
      <c r="E82" s="1" t="s">
        <v>24</v>
      </c>
      <c r="F82" s="1" t="s">
        <v>560</v>
      </c>
      <c r="G82" s="1">
        <v>1440</v>
      </c>
      <c r="H82" s="1">
        <v>141448</v>
      </c>
      <c r="I82" s="1" t="s">
        <v>190</v>
      </c>
      <c r="J82" s="1">
        <v>16206</v>
      </c>
      <c r="K82" s="1">
        <v>106917</v>
      </c>
    </row>
    <row r="83" spans="1:11" x14ac:dyDescent="0.2">
      <c r="A83" s="1" t="s">
        <v>486</v>
      </c>
      <c r="B83" s="1" t="s">
        <v>43</v>
      </c>
      <c r="C83" s="15">
        <v>42220</v>
      </c>
      <c r="D83" s="1" t="s">
        <v>23</v>
      </c>
      <c r="E83" s="1" t="s">
        <v>27</v>
      </c>
      <c r="F83" s="1" t="s">
        <v>562</v>
      </c>
      <c r="G83" s="1">
        <v>0</v>
      </c>
      <c r="H83" s="1">
        <v>141448</v>
      </c>
      <c r="I83" s="1" t="s">
        <v>42</v>
      </c>
      <c r="J83" s="1">
        <v>16206</v>
      </c>
      <c r="K83" s="1">
        <v>108052</v>
      </c>
    </row>
    <row r="84" spans="1:11" x14ac:dyDescent="0.2">
      <c r="A84" s="1" t="s">
        <v>486</v>
      </c>
      <c r="B84" s="1" t="s">
        <v>43</v>
      </c>
      <c r="C84" s="15">
        <v>42220</v>
      </c>
      <c r="D84" s="1" t="s">
        <v>23</v>
      </c>
      <c r="E84" s="1" t="s">
        <v>26</v>
      </c>
      <c r="F84" s="1" t="s">
        <v>563</v>
      </c>
      <c r="G84" s="1">
        <v>83.25</v>
      </c>
      <c r="H84" s="1">
        <v>141448</v>
      </c>
      <c r="I84" s="1" t="s">
        <v>446</v>
      </c>
      <c r="J84" s="1">
        <v>16206</v>
      </c>
      <c r="K84" s="1">
        <v>106919</v>
      </c>
    </row>
    <row r="85" spans="1:11" x14ac:dyDescent="0.2">
      <c r="A85" s="1" t="s">
        <v>486</v>
      </c>
      <c r="B85" s="1" t="s">
        <v>381</v>
      </c>
      <c r="C85" s="15">
        <v>42234</v>
      </c>
      <c r="D85" s="1" t="s">
        <v>23</v>
      </c>
      <c r="E85" s="1" t="s">
        <v>22</v>
      </c>
      <c r="F85" s="1" t="s">
        <v>564</v>
      </c>
      <c r="G85" s="1">
        <v>625</v>
      </c>
      <c r="H85" s="1">
        <v>0</v>
      </c>
      <c r="I85" s="1" t="s">
        <v>31</v>
      </c>
      <c r="J85" s="1">
        <v>16106</v>
      </c>
      <c r="K85" s="1">
        <v>110368</v>
      </c>
    </row>
    <row r="86" spans="1:11" x14ac:dyDescent="0.2">
      <c r="A86" s="1" t="s">
        <v>486</v>
      </c>
      <c r="B86" s="1" t="s">
        <v>413</v>
      </c>
      <c r="C86" s="15">
        <v>42234</v>
      </c>
      <c r="D86" s="1" t="s">
        <v>23</v>
      </c>
      <c r="E86" s="1" t="s">
        <v>22</v>
      </c>
      <c r="F86" s="1" t="s">
        <v>565</v>
      </c>
      <c r="G86" s="1">
        <v>1384.13</v>
      </c>
      <c r="H86" s="1">
        <v>0</v>
      </c>
      <c r="I86" s="1" t="s">
        <v>412</v>
      </c>
      <c r="J86" s="1">
        <v>16131</v>
      </c>
      <c r="K86" s="1">
        <v>110394</v>
      </c>
    </row>
    <row r="87" spans="1:11" x14ac:dyDescent="0.2">
      <c r="A87" s="1" t="s">
        <v>486</v>
      </c>
      <c r="B87" s="1" t="s">
        <v>387</v>
      </c>
      <c r="C87" s="15">
        <v>42234</v>
      </c>
      <c r="D87" s="1" t="s">
        <v>23</v>
      </c>
      <c r="E87" s="1" t="s">
        <v>22</v>
      </c>
      <c r="F87" s="1" t="s">
        <v>566</v>
      </c>
      <c r="G87" s="1">
        <v>1000</v>
      </c>
      <c r="H87" s="1">
        <v>0</v>
      </c>
      <c r="I87" s="1" t="s">
        <v>334</v>
      </c>
      <c r="J87" s="1">
        <v>16110</v>
      </c>
      <c r="K87" s="1">
        <v>110372</v>
      </c>
    </row>
    <row r="88" spans="1:11" x14ac:dyDescent="0.2">
      <c r="A88" s="1" t="s">
        <v>486</v>
      </c>
      <c r="B88" s="1" t="s">
        <v>400</v>
      </c>
      <c r="C88" s="15">
        <v>42234</v>
      </c>
      <c r="D88" s="1" t="s">
        <v>23</v>
      </c>
      <c r="E88" s="1" t="s">
        <v>22</v>
      </c>
      <c r="F88" s="1" t="s">
        <v>567</v>
      </c>
      <c r="G88" s="1">
        <v>628.79</v>
      </c>
      <c r="H88" s="1">
        <v>0</v>
      </c>
      <c r="I88" s="1" t="s">
        <v>399</v>
      </c>
      <c r="J88" s="1">
        <v>16122</v>
      </c>
      <c r="K88" s="1">
        <v>110382</v>
      </c>
    </row>
    <row r="89" spans="1:11" x14ac:dyDescent="0.2">
      <c r="A89" s="1" t="s">
        <v>486</v>
      </c>
      <c r="B89" s="1" t="s">
        <v>407</v>
      </c>
      <c r="C89" s="15">
        <v>42234</v>
      </c>
      <c r="D89" s="1" t="s">
        <v>23</v>
      </c>
      <c r="E89" s="1" t="s">
        <v>22</v>
      </c>
      <c r="F89" s="1" t="s">
        <v>568</v>
      </c>
      <c r="G89" s="1">
        <v>1029.5999999999999</v>
      </c>
      <c r="H89" s="1">
        <v>0</v>
      </c>
      <c r="I89" s="1" t="s">
        <v>31</v>
      </c>
      <c r="J89" s="1">
        <v>16128</v>
      </c>
      <c r="K89" s="1">
        <v>110391</v>
      </c>
    </row>
    <row r="90" spans="1:11" x14ac:dyDescent="0.2">
      <c r="A90" s="1" t="s">
        <v>486</v>
      </c>
      <c r="B90" s="1" t="s">
        <v>152</v>
      </c>
      <c r="C90" s="15">
        <v>42276</v>
      </c>
      <c r="D90" s="1" t="s">
        <v>23</v>
      </c>
      <c r="E90" s="1" t="s">
        <v>24</v>
      </c>
      <c r="F90" s="1" t="s">
        <v>572</v>
      </c>
      <c r="G90" s="1">
        <v>2000</v>
      </c>
      <c r="H90" s="1">
        <v>149278</v>
      </c>
      <c r="I90" s="1" t="s">
        <v>267</v>
      </c>
      <c r="J90" s="1">
        <v>16976</v>
      </c>
      <c r="K90" s="1">
        <v>112244</v>
      </c>
    </row>
    <row r="91" spans="1:11" x14ac:dyDescent="0.2">
      <c r="A91" s="1" t="s">
        <v>486</v>
      </c>
      <c r="B91" s="1" t="s">
        <v>152</v>
      </c>
      <c r="C91" s="15">
        <v>42276</v>
      </c>
      <c r="D91" s="1" t="s">
        <v>23</v>
      </c>
      <c r="E91" s="1" t="s">
        <v>22</v>
      </c>
      <c r="F91" s="1" t="s">
        <v>573</v>
      </c>
      <c r="G91" s="1">
        <v>950.44</v>
      </c>
      <c r="H91" s="1">
        <v>0</v>
      </c>
      <c r="I91" s="1" t="s">
        <v>432</v>
      </c>
      <c r="J91" s="1">
        <v>16976</v>
      </c>
      <c r="K91" s="1">
        <v>112247</v>
      </c>
    </row>
    <row r="92" spans="1:11" x14ac:dyDescent="0.2">
      <c r="A92" s="1" t="s">
        <v>486</v>
      </c>
      <c r="B92" s="1" t="s">
        <v>152</v>
      </c>
      <c r="C92" s="15">
        <v>42276</v>
      </c>
      <c r="D92" s="1" t="s">
        <v>23</v>
      </c>
      <c r="E92" s="1" t="s">
        <v>25</v>
      </c>
      <c r="F92" s="1" t="s">
        <v>574</v>
      </c>
      <c r="G92" s="1">
        <v>427.22</v>
      </c>
      <c r="H92" s="1">
        <v>0</v>
      </c>
      <c r="I92" s="1" t="s">
        <v>575</v>
      </c>
      <c r="J92" s="1">
        <v>16976</v>
      </c>
      <c r="K92" s="1">
        <v>113513</v>
      </c>
    </row>
    <row r="93" spans="1:11" x14ac:dyDescent="0.2">
      <c r="A93" s="1" t="s">
        <v>486</v>
      </c>
      <c r="B93" s="1" t="s">
        <v>152</v>
      </c>
      <c r="C93" s="15">
        <v>42276</v>
      </c>
      <c r="D93" s="1" t="s">
        <v>23</v>
      </c>
      <c r="E93" s="1" t="s">
        <v>27</v>
      </c>
      <c r="F93" s="1" t="s">
        <v>569</v>
      </c>
      <c r="G93" s="1">
        <v>0</v>
      </c>
      <c r="H93" s="1">
        <v>149278</v>
      </c>
      <c r="I93" s="1" t="s">
        <v>151</v>
      </c>
      <c r="J93" s="1">
        <v>16976</v>
      </c>
      <c r="K93" s="1">
        <v>114969</v>
      </c>
    </row>
    <row r="94" spans="1:11" x14ac:dyDescent="0.2">
      <c r="A94" s="1" t="s">
        <v>486</v>
      </c>
      <c r="B94" s="1" t="s">
        <v>152</v>
      </c>
      <c r="C94" s="15">
        <v>42276</v>
      </c>
      <c r="D94" s="1" t="s">
        <v>23</v>
      </c>
      <c r="E94" s="1" t="s">
        <v>26</v>
      </c>
      <c r="F94" s="1" t="s">
        <v>570</v>
      </c>
      <c r="G94" s="1">
        <v>0</v>
      </c>
      <c r="H94" s="1">
        <v>149278</v>
      </c>
      <c r="I94" s="1" t="s">
        <v>571</v>
      </c>
      <c r="J94" s="1">
        <v>16976</v>
      </c>
      <c r="K94" s="1">
        <v>112246</v>
      </c>
    </row>
    <row r="95" spans="1:11" x14ac:dyDescent="0.2">
      <c r="A95" s="1" t="s">
        <v>486</v>
      </c>
      <c r="B95" s="1" t="s">
        <v>152</v>
      </c>
      <c r="C95" s="15">
        <v>42276</v>
      </c>
      <c r="D95" s="1" t="s">
        <v>23</v>
      </c>
      <c r="E95" s="1" t="s">
        <v>27</v>
      </c>
      <c r="F95" s="1" t="s">
        <v>569</v>
      </c>
      <c r="G95" s="1">
        <v>385.2</v>
      </c>
      <c r="H95" s="1">
        <v>149278</v>
      </c>
      <c r="I95" s="1" t="s">
        <v>164</v>
      </c>
      <c r="J95" s="1">
        <v>16976</v>
      </c>
      <c r="K95" s="1">
        <v>113349</v>
      </c>
    </row>
    <row r="96" spans="1:11" x14ac:dyDescent="0.2">
      <c r="A96" s="1" t="s">
        <v>486</v>
      </c>
      <c r="B96" s="1" t="s">
        <v>402</v>
      </c>
      <c r="C96" s="15">
        <v>42234</v>
      </c>
      <c r="D96" s="1" t="s">
        <v>23</v>
      </c>
      <c r="E96" s="1" t="s">
        <v>22</v>
      </c>
      <c r="F96" s="1" t="s">
        <v>576</v>
      </c>
      <c r="G96" s="1">
        <v>499.7</v>
      </c>
      <c r="H96" s="1">
        <v>0</v>
      </c>
      <c r="I96" s="1" t="s">
        <v>401</v>
      </c>
      <c r="J96" s="1">
        <v>16123</v>
      </c>
      <c r="K96" s="1">
        <v>110383</v>
      </c>
    </row>
    <row r="97" spans="1:11" x14ac:dyDescent="0.2">
      <c r="A97" s="30" t="s">
        <v>486</v>
      </c>
      <c r="B97" s="30" t="s">
        <v>194</v>
      </c>
      <c r="C97" s="31">
        <v>42222</v>
      </c>
      <c r="D97" s="30" t="s">
        <v>23</v>
      </c>
      <c r="E97" s="30" t="s">
        <v>24</v>
      </c>
      <c r="F97" s="30" t="s">
        <v>577</v>
      </c>
      <c r="G97" s="30">
        <v>2080</v>
      </c>
      <c r="H97" s="30">
        <v>141485</v>
      </c>
      <c r="I97" s="30" t="s">
        <v>193</v>
      </c>
      <c r="J97" s="30">
        <v>16213</v>
      </c>
      <c r="K97" s="1">
        <v>106925</v>
      </c>
    </row>
    <row r="98" spans="1:11" s="30" customFormat="1" x14ac:dyDescent="0.2">
      <c r="A98" s="30" t="s">
        <v>486</v>
      </c>
      <c r="B98" s="30" t="s">
        <v>194</v>
      </c>
      <c r="C98" s="31">
        <v>42222</v>
      </c>
      <c r="D98" s="30" t="s">
        <v>23</v>
      </c>
      <c r="E98" s="30" t="s">
        <v>22</v>
      </c>
      <c r="F98" s="30" t="s">
        <v>578</v>
      </c>
      <c r="G98" s="30">
        <v>1124.8599999999999</v>
      </c>
      <c r="H98" s="30">
        <v>0</v>
      </c>
      <c r="I98" s="30" t="s">
        <v>303</v>
      </c>
      <c r="J98" s="30">
        <v>16213</v>
      </c>
      <c r="K98" s="30">
        <v>106928</v>
      </c>
    </row>
    <row r="99" spans="1:11" s="30" customFormat="1" x14ac:dyDescent="0.2">
      <c r="A99" s="1" t="s">
        <v>486</v>
      </c>
      <c r="B99" s="1" t="s">
        <v>194</v>
      </c>
      <c r="C99" s="15">
        <v>42222</v>
      </c>
      <c r="D99" s="1" t="s">
        <v>23</v>
      </c>
      <c r="E99" s="1" t="s">
        <v>26</v>
      </c>
      <c r="F99" s="1" t="s">
        <v>579</v>
      </c>
      <c r="G99" s="1">
        <v>148.35</v>
      </c>
      <c r="H99" s="1">
        <v>141485</v>
      </c>
      <c r="I99" s="1" t="s">
        <v>445</v>
      </c>
      <c r="J99" s="1">
        <v>16213</v>
      </c>
      <c r="K99" s="30">
        <v>106927</v>
      </c>
    </row>
    <row r="100" spans="1:11" s="30" customFormat="1" x14ac:dyDescent="0.2">
      <c r="A100" s="30" t="s">
        <v>486</v>
      </c>
      <c r="B100" s="30" t="s">
        <v>333</v>
      </c>
      <c r="C100" s="31">
        <v>42234</v>
      </c>
      <c r="D100" s="30" t="s">
        <v>23</v>
      </c>
      <c r="E100" s="30" t="s">
        <v>22</v>
      </c>
      <c r="F100" s="30" t="s">
        <v>580</v>
      </c>
      <c r="G100" s="30">
        <v>943.88</v>
      </c>
      <c r="H100" s="30">
        <v>0</v>
      </c>
      <c r="I100" s="30" t="s">
        <v>332</v>
      </c>
      <c r="J100" s="30">
        <v>16124</v>
      </c>
      <c r="K100" s="30">
        <v>110387</v>
      </c>
    </row>
    <row r="101" spans="1:11" s="30" customFormat="1" x14ac:dyDescent="0.2">
      <c r="A101" s="1" t="s">
        <v>486</v>
      </c>
      <c r="B101" s="1" t="s">
        <v>232</v>
      </c>
      <c r="C101" s="15">
        <v>42220</v>
      </c>
      <c r="D101" s="1" t="s">
        <v>23</v>
      </c>
      <c r="E101" s="1" t="s">
        <v>24</v>
      </c>
      <c r="F101" s="1" t="s">
        <v>581</v>
      </c>
      <c r="G101" s="1">
        <v>0</v>
      </c>
      <c r="H101" s="1">
        <v>0</v>
      </c>
      <c r="I101" s="1" t="s">
        <v>582</v>
      </c>
      <c r="J101" s="1">
        <v>16252</v>
      </c>
      <c r="K101" s="30">
        <v>107736</v>
      </c>
    </row>
    <row r="102" spans="1:11" s="30" customFormat="1" x14ac:dyDescent="0.2">
      <c r="A102" s="30" t="s">
        <v>486</v>
      </c>
      <c r="B102" s="30" t="s">
        <v>232</v>
      </c>
      <c r="C102" s="31">
        <v>42220</v>
      </c>
      <c r="D102" s="30" t="s">
        <v>23</v>
      </c>
      <c r="E102" s="30" t="s">
        <v>22</v>
      </c>
      <c r="F102" s="30" t="s">
        <v>583</v>
      </c>
      <c r="G102" s="30">
        <v>1042.02</v>
      </c>
      <c r="H102" s="30">
        <v>0</v>
      </c>
      <c r="I102" s="30" t="s">
        <v>311</v>
      </c>
      <c r="J102" s="30">
        <v>16252</v>
      </c>
      <c r="K102" s="30">
        <v>107735</v>
      </c>
    </row>
    <row r="103" spans="1:11" x14ac:dyDescent="0.2">
      <c r="A103" s="30" t="s">
        <v>486</v>
      </c>
      <c r="B103" s="30" t="s">
        <v>232</v>
      </c>
      <c r="C103" s="31">
        <v>42220</v>
      </c>
      <c r="D103" s="30" t="s">
        <v>23</v>
      </c>
      <c r="E103" s="30" t="s">
        <v>24</v>
      </c>
      <c r="F103" s="30" t="s">
        <v>581</v>
      </c>
      <c r="G103" s="30">
        <v>1080</v>
      </c>
      <c r="H103" s="30">
        <v>141875</v>
      </c>
      <c r="I103" s="30" t="s">
        <v>231</v>
      </c>
      <c r="J103" s="30">
        <v>16252</v>
      </c>
      <c r="K103" s="1">
        <v>111036</v>
      </c>
    </row>
    <row r="104" spans="1:11" x14ac:dyDescent="0.2">
      <c r="A104" s="1" t="s">
        <v>486</v>
      </c>
      <c r="B104" s="1" t="s">
        <v>335</v>
      </c>
      <c r="C104" s="15">
        <v>42234</v>
      </c>
      <c r="D104" s="1" t="s">
        <v>23</v>
      </c>
      <c r="E104" s="1" t="s">
        <v>22</v>
      </c>
      <c r="F104" s="1" t="s">
        <v>584</v>
      </c>
      <c r="G104" s="1">
        <v>248.86</v>
      </c>
      <c r="H104" s="1">
        <v>0</v>
      </c>
      <c r="I104" s="1" t="s">
        <v>334</v>
      </c>
      <c r="J104" s="1">
        <v>16062</v>
      </c>
      <c r="K104" s="1">
        <v>110323</v>
      </c>
    </row>
    <row r="105" spans="1:11" x14ac:dyDescent="0.2">
      <c r="A105" s="1" t="s">
        <v>486</v>
      </c>
      <c r="B105" s="1" t="s">
        <v>202</v>
      </c>
      <c r="C105" s="15">
        <v>42219</v>
      </c>
      <c r="D105" s="1" t="s">
        <v>23</v>
      </c>
      <c r="E105" s="1" t="s">
        <v>26</v>
      </c>
      <c r="F105" s="1" t="s">
        <v>585</v>
      </c>
      <c r="G105" s="1">
        <v>60.8</v>
      </c>
      <c r="H105" s="1">
        <v>141429</v>
      </c>
      <c r="I105" s="1" t="s">
        <v>449</v>
      </c>
      <c r="J105" s="1">
        <v>16254</v>
      </c>
      <c r="K105" s="1">
        <v>107712</v>
      </c>
    </row>
    <row r="106" spans="1:11" x14ac:dyDescent="0.2">
      <c r="A106" s="1" t="s">
        <v>486</v>
      </c>
      <c r="B106" s="1" t="s">
        <v>202</v>
      </c>
      <c r="C106" s="15">
        <v>42219</v>
      </c>
      <c r="D106" s="1" t="s">
        <v>23</v>
      </c>
      <c r="E106" s="1" t="s">
        <v>24</v>
      </c>
      <c r="F106" s="1" t="s">
        <v>586</v>
      </c>
      <c r="G106" s="1">
        <v>1200</v>
      </c>
      <c r="H106" s="1">
        <v>141429</v>
      </c>
      <c r="I106" s="1" t="s">
        <v>201</v>
      </c>
      <c r="J106" s="1">
        <v>16254</v>
      </c>
      <c r="K106" s="1">
        <v>107709</v>
      </c>
    </row>
    <row r="107" spans="1:11" x14ac:dyDescent="0.2">
      <c r="A107" s="1" t="s">
        <v>486</v>
      </c>
      <c r="B107" s="1" t="s">
        <v>202</v>
      </c>
      <c r="C107" s="15">
        <v>42219</v>
      </c>
      <c r="D107" s="1" t="s">
        <v>23</v>
      </c>
      <c r="E107" s="1" t="s">
        <v>22</v>
      </c>
      <c r="F107" s="1" t="s">
        <v>587</v>
      </c>
      <c r="G107" s="1">
        <v>662.76</v>
      </c>
      <c r="H107" s="1">
        <v>0</v>
      </c>
      <c r="I107" s="1" t="s">
        <v>307</v>
      </c>
      <c r="J107" s="1">
        <v>16254</v>
      </c>
      <c r="K107" s="1">
        <v>107713</v>
      </c>
    </row>
    <row r="108" spans="1:11" x14ac:dyDescent="0.2">
      <c r="A108" s="1" t="s">
        <v>486</v>
      </c>
      <c r="B108" s="1" t="s">
        <v>204</v>
      </c>
      <c r="C108" s="15">
        <v>42227</v>
      </c>
      <c r="D108" s="1" t="s">
        <v>23</v>
      </c>
      <c r="E108" s="1" t="s">
        <v>22</v>
      </c>
      <c r="F108" s="1" t="s">
        <v>588</v>
      </c>
      <c r="G108" s="1">
        <v>1124.93</v>
      </c>
      <c r="H108" s="1">
        <v>0</v>
      </c>
      <c r="I108" s="1" t="s">
        <v>312</v>
      </c>
      <c r="J108" s="1">
        <v>16255</v>
      </c>
      <c r="K108" s="1">
        <v>107738</v>
      </c>
    </row>
    <row r="109" spans="1:11" x14ac:dyDescent="0.2">
      <c r="A109" s="1" t="s">
        <v>486</v>
      </c>
      <c r="B109" s="1" t="s">
        <v>204</v>
      </c>
      <c r="C109" s="15">
        <v>42227</v>
      </c>
      <c r="D109" s="1" t="s">
        <v>23</v>
      </c>
      <c r="E109" s="1" t="s">
        <v>24</v>
      </c>
      <c r="F109" s="1" t="s">
        <v>589</v>
      </c>
      <c r="G109" s="1">
        <v>1200</v>
      </c>
      <c r="H109" s="1">
        <v>141492</v>
      </c>
      <c r="I109" s="1" t="s">
        <v>184</v>
      </c>
      <c r="J109" s="1">
        <v>16255</v>
      </c>
      <c r="K109" s="1">
        <v>107741</v>
      </c>
    </row>
    <row r="110" spans="1:11" x14ac:dyDescent="0.2">
      <c r="A110" s="1" t="s">
        <v>486</v>
      </c>
      <c r="B110" s="1" t="s">
        <v>204</v>
      </c>
      <c r="C110" s="15">
        <v>42227</v>
      </c>
      <c r="D110" s="1" t="s">
        <v>23</v>
      </c>
      <c r="E110" s="1" t="s">
        <v>26</v>
      </c>
      <c r="F110" s="1" t="s">
        <v>590</v>
      </c>
      <c r="G110" s="1">
        <v>103.52</v>
      </c>
      <c r="H110" s="1">
        <v>141492</v>
      </c>
      <c r="I110" s="1" t="s">
        <v>451</v>
      </c>
      <c r="J110" s="1">
        <v>16255</v>
      </c>
      <c r="K110" s="1">
        <v>107740</v>
      </c>
    </row>
    <row r="111" spans="1:11" x14ac:dyDescent="0.2">
      <c r="A111" s="1" t="s">
        <v>486</v>
      </c>
      <c r="B111" s="1" t="s">
        <v>382</v>
      </c>
      <c r="C111" s="15">
        <v>42234</v>
      </c>
      <c r="D111" s="1" t="s">
        <v>23</v>
      </c>
      <c r="E111" s="1" t="s">
        <v>22</v>
      </c>
      <c r="F111" s="1" t="s">
        <v>591</v>
      </c>
      <c r="G111" s="1">
        <v>999.98</v>
      </c>
      <c r="H111" s="1">
        <v>0</v>
      </c>
      <c r="I111" s="1" t="s">
        <v>296</v>
      </c>
      <c r="J111" s="1">
        <v>16107</v>
      </c>
      <c r="K111" s="1">
        <v>110369</v>
      </c>
    </row>
    <row r="112" spans="1:11" x14ac:dyDescent="0.2">
      <c r="A112" s="1" t="s">
        <v>486</v>
      </c>
      <c r="B112" s="1" t="s">
        <v>188</v>
      </c>
      <c r="C112" s="15">
        <v>42258</v>
      </c>
      <c r="D112" s="1" t="s">
        <v>23</v>
      </c>
      <c r="E112" s="1" t="s">
        <v>24</v>
      </c>
      <c r="F112" s="1" t="s">
        <v>592</v>
      </c>
      <c r="G112" s="1">
        <v>900</v>
      </c>
      <c r="H112" s="1">
        <v>142168</v>
      </c>
      <c r="I112" s="1" t="s">
        <v>187</v>
      </c>
      <c r="J112" s="1">
        <v>16292</v>
      </c>
      <c r="K112" s="1">
        <v>107350</v>
      </c>
    </row>
    <row r="113" spans="1:11" x14ac:dyDescent="0.2">
      <c r="A113" s="1" t="s">
        <v>486</v>
      </c>
      <c r="B113" s="1" t="s">
        <v>188</v>
      </c>
      <c r="C113" s="15">
        <v>42258</v>
      </c>
      <c r="D113" s="1" t="s">
        <v>23</v>
      </c>
      <c r="E113" s="1" t="s">
        <v>22</v>
      </c>
      <c r="F113" s="1" t="s">
        <v>593</v>
      </c>
      <c r="G113" s="1">
        <v>151.71</v>
      </c>
      <c r="H113" s="1">
        <v>0</v>
      </c>
      <c r="I113" s="1" t="s">
        <v>304</v>
      </c>
      <c r="J113" s="1">
        <v>16292</v>
      </c>
      <c r="K113" s="1">
        <v>107353</v>
      </c>
    </row>
    <row r="114" spans="1:11" x14ac:dyDescent="0.2">
      <c r="A114" s="1" t="s">
        <v>486</v>
      </c>
      <c r="B114" s="1" t="s">
        <v>188</v>
      </c>
      <c r="C114" s="15">
        <v>42258</v>
      </c>
      <c r="D114" s="1" t="s">
        <v>23</v>
      </c>
      <c r="E114" s="1" t="s">
        <v>26</v>
      </c>
      <c r="F114" s="1" t="s">
        <v>594</v>
      </c>
      <c r="G114" s="1">
        <v>116.81</v>
      </c>
      <c r="H114" s="1">
        <v>142168</v>
      </c>
      <c r="I114" s="1" t="s">
        <v>448</v>
      </c>
      <c r="J114" s="1">
        <v>16292</v>
      </c>
      <c r="K114" s="1">
        <v>107352</v>
      </c>
    </row>
    <row r="115" spans="1:11" x14ac:dyDescent="0.2">
      <c r="A115" s="1" t="s">
        <v>486</v>
      </c>
      <c r="B115" s="1" t="s">
        <v>219</v>
      </c>
      <c r="C115" s="15">
        <v>42271</v>
      </c>
      <c r="D115" s="1" t="s">
        <v>23</v>
      </c>
      <c r="E115" s="1" t="s">
        <v>24</v>
      </c>
      <c r="F115" s="1" t="s">
        <v>595</v>
      </c>
      <c r="G115" s="1">
        <v>900</v>
      </c>
      <c r="H115" s="1">
        <v>143159</v>
      </c>
      <c r="I115" s="1" t="s">
        <v>218</v>
      </c>
      <c r="J115" s="1">
        <v>16482</v>
      </c>
      <c r="K115" s="1">
        <v>108739</v>
      </c>
    </row>
    <row r="116" spans="1:11" x14ac:dyDescent="0.2">
      <c r="A116" s="1" t="s">
        <v>486</v>
      </c>
      <c r="B116" s="1" t="s">
        <v>219</v>
      </c>
      <c r="C116" s="15">
        <v>42271</v>
      </c>
      <c r="D116" s="1" t="s">
        <v>23</v>
      </c>
      <c r="E116" s="1" t="s">
        <v>22</v>
      </c>
      <c r="F116" s="1" t="s">
        <v>596</v>
      </c>
      <c r="G116" s="1">
        <v>209.87</v>
      </c>
      <c r="H116" s="1">
        <v>0</v>
      </c>
      <c r="I116" s="1" t="s">
        <v>36</v>
      </c>
      <c r="J116" s="1">
        <v>16482</v>
      </c>
      <c r="K116" s="1">
        <v>108742</v>
      </c>
    </row>
    <row r="117" spans="1:11" x14ac:dyDescent="0.2">
      <c r="A117" s="1" t="s">
        <v>486</v>
      </c>
      <c r="B117" s="1" t="s">
        <v>219</v>
      </c>
      <c r="C117" s="15">
        <v>42271</v>
      </c>
      <c r="D117" s="1" t="s">
        <v>23</v>
      </c>
      <c r="E117" s="1" t="s">
        <v>26</v>
      </c>
      <c r="F117" s="1" t="s">
        <v>597</v>
      </c>
      <c r="G117" s="1">
        <v>0</v>
      </c>
      <c r="H117" s="1">
        <v>143159</v>
      </c>
      <c r="I117" s="1" t="s">
        <v>598</v>
      </c>
      <c r="J117" s="1">
        <v>16482</v>
      </c>
      <c r="K117" s="1">
        <v>108741</v>
      </c>
    </row>
    <row r="118" spans="1:11" x14ac:dyDescent="0.2">
      <c r="A118" s="1" t="s">
        <v>486</v>
      </c>
      <c r="B118" s="1" t="s">
        <v>339</v>
      </c>
      <c r="C118" s="15">
        <v>42234</v>
      </c>
      <c r="D118" s="1" t="s">
        <v>23</v>
      </c>
      <c r="E118" s="1" t="s">
        <v>22</v>
      </c>
      <c r="F118" s="1" t="s">
        <v>599</v>
      </c>
      <c r="G118" s="1">
        <v>1124.48</v>
      </c>
      <c r="H118" s="1">
        <v>0</v>
      </c>
      <c r="I118" s="1" t="s">
        <v>294</v>
      </c>
      <c r="J118" s="1">
        <v>16066</v>
      </c>
      <c r="K118" s="1">
        <v>110327</v>
      </c>
    </row>
    <row r="119" spans="1:11" x14ac:dyDescent="0.2">
      <c r="A119" s="1" t="s">
        <v>486</v>
      </c>
      <c r="B119" s="1" t="s">
        <v>341</v>
      </c>
      <c r="C119" s="15">
        <v>42234</v>
      </c>
      <c r="D119" s="1" t="s">
        <v>23</v>
      </c>
      <c r="E119" s="1" t="s">
        <v>22</v>
      </c>
      <c r="F119" s="1" t="s">
        <v>600</v>
      </c>
      <c r="G119" s="1">
        <v>1124.96</v>
      </c>
      <c r="H119" s="1">
        <v>0</v>
      </c>
      <c r="I119" s="1" t="s">
        <v>298</v>
      </c>
      <c r="J119" s="1">
        <v>16068</v>
      </c>
      <c r="K119" s="1">
        <v>110329</v>
      </c>
    </row>
    <row r="120" spans="1:11" x14ac:dyDescent="0.2">
      <c r="A120" s="1" t="s">
        <v>486</v>
      </c>
      <c r="B120" s="1" t="s">
        <v>248</v>
      </c>
      <c r="C120" s="15">
        <v>42262</v>
      </c>
      <c r="D120" s="1" t="s">
        <v>23</v>
      </c>
      <c r="E120" s="1" t="s">
        <v>24</v>
      </c>
      <c r="F120" s="1" t="s">
        <v>602</v>
      </c>
      <c r="G120" s="1">
        <v>1200</v>
      </c>
      <c r="H120" s="1">
        <v>147568</v>
      </c>
      <c r="I120" s="1" t="s">
        <v>247</v>
      </c>
      <c r="J120" s="1">
        <v>16821</v>
      </c>
      <c r="K120" s="1">
        <v>111218</v>
      </c>
    </row>
    <row r="121" spans="1:11" x14ac:dyDescent="0.2">
      <c r="A121" s="1" t="s">
        <v>486</v>
      </c>
      <c r="B121" s="1" t="s">
        <v>248</v>
      </c>
      <c r="C121" s="15">
        <v>42262</v>
      </c>
      <c r="D121" s="1" t="s">
        <v>23</v>
      </c>
      <c r="E121" s="1" t="s">
        <v>22</v>
      </c>
      <c r="F121" s="1" t="s">
        <v>603</v>
      </c>
      <c r="G121" s="1">
        <v>0</v>
      </c>
      <c r="H121" s="1">
        <v>0</v>
      </c>
      <c r="I121" s="1" t="s">
        <v>421</v>
      </c>
      <c r="J121" s="1">
        <v>16821</v>
      </c>
      <c r="K121" s="1">
        <v>111221</v>
      </c>
    </row>
    <row r="122" spans="1:11" x14ac:dyDescent="0.2">
      <c r="A122" s="1" t="s">
        <v>486</v>
      </c>
      <c r="B122" s="1" t="s">
        <v>248</v>
      </c>
      <c r="C122" s="15">
        <v>42262</v>
      </c>
      <c r="D122" s="1" t="s">
        <v>23</v>
      </c>
      <c r="E122" s="1" t="s">
        <v>26</v>
      </c>
      <c r="F122" s="1" t="s">
        <v>601</v>
      </c>
      <c r="G122" s="1">
        <v>0</v>
      </c>
      <c r="H122" s="1">
        <v>147568</v>
      </c>
      <c r="J122" s="1">
        <v>16821</v>
      </c>
      <c r="K122" s="1">
        <v>111220</v>
      </c>
    </row>
    <row r="123" spans="1:11" x14ac:dyDescent="0.2">
      <c r="A123" s="1" t="s">
        <v>486</v>
      </c>
      <c r="B123" s="1" t="s">
        <v>345</v>
      </c>
      <c r="C123" s="15">
        <v>42234</v>
      </c>
      <c r="D123" s="1" t="s">
        <v>23</v>
      </c>
      <c r="E123" s="1" t="s">
        <v>22</v>
      </c>
      <c r="F123" s="1" t="s">
        <v>604</v>
      </c>
      <c r="G123" s="1">
        <v>209.63</v>
      </c>
      <c r="H123" s="1">
        <v>0</v>
      </c>
      <c r="I123" s="1" t="s">
        <v>344</v>
      </c>
      <c r="J123" s="1">
        <v>16070</v>
      </c>
      <c r="K123" s="1">
        <v>110331</v>
      </c>
    </row>
    <row r="124" spans="1:11" x14ac:dyDescent="0.2">
      <c r="A124" s="1" t="s">
        <v>486</v>
      </c>
      <c r="B124" s="1" t="s">
        <v>278</v>
      </c>
      <c r="C124" s="15">
        <v>42277</v>
      </c>
      <c r="D124" s="1" t="s">
        <v>23</v>
      </c>
      <c r="E124" s="1" t="s">
        <v>24</v>
      </c>
      <c r="F124" s="1" t="s">
        <v>606</v>
      </c>
      <c r="G124" s="1">
        <v>600</v>
      </c>
      <c r="H124" s="1">
        <v>151766</v>
      </c>
      <c r="I124" s="1" t="s">
        <v>277</v>
      </c>
      <c r="J124" s="1">
        <v>17205</v>
      </c>
      <c r="K124" s="1">
        <v>113771</v>
      </c>
    </row>
    <row r="125" spans="1:11" x14ac:dyDescent="0.2">
      <c r="A125" s="1" t="s">
        <v>486</v>
      </c>
      <c r="B125" s="1" t="s">
        <v>278</v>
      </c>
      <c r="C125" s="15">
        <v>42277</v>
      </c>
      <c r="D125" s="1" t="s">
        <v>23</v>
      </c>
      <c r="E125" s="1" t="s">
        <v>22</v>
      </c>
      <c r="F125" s="1" t="s">
        <v>607</v>
      </c>
      <c r="G125" s="1">
        <v>342.9</v>
      </c>
      <c r="H125" s="1">
        <v>0</v>
      </c>
      <c r="I125" s="1" t="s">
        <v>439</v>
      </c>
      <c r="J125" s="1">
        <v>17205</v>
      </c>
      <c r="K125" s="1">
        <v>113774</v>
      </c>
    </row>
    <row r="126" spans="1:11" x14ac:dyDescent="0.2">
      <c r="A126" s="1" t="s">
        <v>486</v>
      </c>
      <c r="B126" s="1" t="s">
        <v>278</v>
      </c>
      <c r="C126" s="15">
        <v>42277</v>
      </c>
      <c r="D126" s="1" t="s">
        <v>23</v>
      </c>
      <c r="E126" s="1" t="s">
        <v>26</v>
      </c>
      <c r="F126" s="1" t="s">
        <v>605</v>
      </c>
      <c r="G126" s="1">
        <v>41.88</v>
      </c>
      <c r="H126" s="1">
        <v>151766</v>
      </c>
      <c r="I126" s="1" t="s">
        <v>479</v>
      </c>
      <c r="J126" s="1">
        <v>17205</v>
      </c>
      <c r="K126" s="1">
        <v>113773</v>
      </c>
    </row>
    <row r="127" spans="1:11" x14ac:dyDescent="0.2">
      <c r="A127" s="1" t="s">
        <v>486</v>
      </c>
      <c r="B127" s="1" t="s">
        <v>378</v>
      </c>
      <c r="C127" s="15">
        <v>42234</v>
      </c>
      <c r="D127" s="1" t="s">
        <v>23</v>
      </c>
      <c r="E127" s="1" t="s">
        <v>22</v>
      </c>
      <c r="F127" s="1" t="s">
        <v>608</v>
      </c>
      <c r="G127" s="1">
        <v>625</v>
      </c>
      <c r="H127" s="1">
        <v>0</v>
      </c>
      <c r="I127" s="1" t="s">
        <v>296</v>
      </c>
      <c r="J127" s="1">
        <v>16104</v>
      </c>
      <c r="K127" s="1">
        <v>110366</v>
      </c>
    </row>
    <row r="128" spans="1:11" x14ac:dyDescent="0.2">
      <c r="A128" s="1" t="s">
        <v>486</v>
      </c>
      <c r="B128" s="1" t="s">
        <v>353</v>
      </c>
      <c r="C128" s="15">
        <v>42234</v>
      </c>
      <c r="D128" s="1" t="s">
        <v>23</v>
      </c>
      <c r="E128" s="1" t="s">
        <v>22</v>
      </c>
      <c r="F128" s="1" t="s">
        <v>609</v>
      </c>
      <c r="G128" s="1">
        <v>713.27</v>
      </c>
      <c r="H128" s="1">
        <v>0</v>
      </c>
      <c r="I128" s="1" t="s">
        <v>352</v>
      </c>
      <c r="J128" s="1">
        <v>16076</v>
      </c>
      <c r="K128" s="1">
        <v>110336</v>
      </c>
    </row>
    <row r="129" spans="1:11" x14ac:dyDescent="0.2">
      <c r="A129" s="1" t="s">
        <v>486</v>
      </c>
      <c r="B129" s="1" t="s">
        <v>295</v>
      </c>
      <c r="C129" s="15">
        <v>42234</v>
      </c>
      <c r="D129" s="1" t="s">
        <v>23</v>
      </c>
      <c r="E129" s="1" t="s">
        <v>22</v>
      </c>
      <c r="F129" s="1" t="s">
        <v>610</v>
      </c>
      <c r="G129" s="1">
        <v>997.9</v>
      </c>
      <c r="H129" s="1">
        <v>0</v>
      </c>
      <c r="I129" s="1" t="s">
        <v>294</v>
      </c>
      <c r="J129" s="1">
        <v>16081</v>
      </c>
      <c r="K129" s="1">
        <v>110346</v>
      </c>
    </row>
    <row r="130" spans="1:11" x14ac:dyDescent="0.2">
      <c r="A130" s="1" t="s">
        <v>486</v>
      </c>
      <c r="B130" s="1" t="s">
        <v>409</v>
      </c>
      <c r="C130" s="15">
        <v>42234</v>
      </c>
      <c r="D130" s="1" t="s">
        <v>23</v>
      </c>
      <c r="E130" s="1" t="s">
        <v>22</v>
      </c>
      <c r="F130" s="1" t="s">
        <v>611</v>
      </c>
      <c r="G130" s="1">
        <v>700.03</v>
      </c>
      <c r="H130" s="1">
        <v>0</v>
      </c>
      <c r="I130" s="1" t="s">
        <v>408</v>
      </c>
      <c r="J130" s="1">
        <v>16129</v>
      </c>
      <c r="K130" s="1">
        <v>110392</v>
      </c>
    </row>
    <row r="131" spans="1:11" x14ac:dyDescent="0.2">
      <c r="A131" s="1" t="s">
        <v>486</v>
      </c>
      <c r="B131" s="1" t="s">
        <v>274</v>
      </c>
      <c r="C131" s="15">
        <v>42276</v>
      </c>
      <c r="D131" s="1" t="s">
        <v>23</v>
      </c>
      <c r="E131" s="1" t="s">
        <v>26</v>
      </c>
      <c r="F131" s="1" t="s">
        <v>614</v>
      </c>
      <c r="G131" s="1">
        <v>0</v>
      </c>
      <c r="H131" s="1">
        <v>151755</v>
      </c>
      <c r="J131" s="1">
        <v>17198</v>
      </c>
      <c r="K131" s="1">
        <v>113732</v>
      </c>
    </row>
    <row r="132" spans="1:11" x14ac:dyDescent="0.2">
      <c r="A132" s="1" t="s">
        <v>486</v>
      </c>
      <c r="B132" s="1" t="s">
        <v>274</v>
      </c>
      <c r="C132" s="15">
        <v>42276</v>
      </c>
      <c r="D132" s="1" t="s">
        <v>23</v>
      </c>
      <c r="E132" s="1" t="s">
        <v>24</v>
      </c>
      <c r="F132" s="1" t="s">
        <v>612</v>
      </c>
      <c r="G132" s="1">
        <v>810</v>
      </c>
      <c r="H132" s="1">
        <v>151755</v>
      </c>
      <c r="I132" s="1" t="s">
        <v>273</v>
      </c>
      <c r="J132" s="1">
        <v>17198</v>
      </c>
      <c r="K132" s="1">
        <v>113730</v>
      </c>
    </row>
    <row r="133" spans="1:11" x14ac:dyDescent="0.2">
      <c r="A133" s="1" t="s">
        <v>486</v>
      </c>
      <c r="B133" s="1" t="s">
        <v>274</v>
      </c>
      <c r="C133" s="15">
        <v>42276</v>
      </c>
      <c r="D133" s="1" t="s">
        <v>23</v>
      </c>
      <c r="E133" s="1" t="s">
        <v>22</v>
      </c>
      <c r="F133" s="1" t="s">
        <v>613</v>
      </c>
      <c r="G133" s="1">
        <v>0</v>
      </c>
      <c r="H133" s="1">
        <v>0</v>
      </c>
      <c r="I133" s="1" t="s">
        <v>438</v>
      </c>
      <c r="J133" s="1">
        <v>17198</v>
      </c>
      <c r="K133" s="1">
        <v>113733</v>
      </c>
    </row>
    <row r="134" spans="1:11" x14ac:dyDescent="0.2">
      <c r="A134" s="1" t="s">
        <v>486</v>
      </c>
      <c r="B134" s="1" t="s">
        <v>206</v>
      </c>
      <c r="C134" s="15">
        <v>42220</v>
      </c>
      <c r="D134" s="1" t="s">
        <v>23</v>
      </c>
      <c r="E134" s="1" t="s">
        <v>22</v>
      </c>
      <c r="F134" s="1" t="s">
        <v>615</v>
      </c>
      <c r="G134" s="1">
        <v>1900</v>
      </c>
      <c r="H134" s="1">
        <v>0</v>
      </c>
      <c r="I134" s="1" t="s">
        <v>313</v>
      </c>
      <c r="J134" s="1">
        <v>16253</v>
      </c>
      <c r="K134" s="1">
        <v>107745</v>
      </c>
    </row>
    <row r="135" spans="1:11" x14ac:dyDescent="0.2">
      <c r="A135" s="1" t="s">
        <v>486</v>
      </c>
      <c r="B135" s="1" t="s">
        <v>206</v>
      </c>
      <c r="C135" s="15">
        <v>42220</v>
      </c>
      <c r="D135" s="1" t="s">
        <v>23</v>
      </c>
      <c r="E135" s="1" t="s">
        <v>26</v>
      </c>
      <c r="F135" s="1" t="s">
        <v>616</v>
      </c>
      <c r="G135" s="1">
        <v>12.65</v>
      </c>
      <c r="H135" s="1">
        <v>141879</v>
      </c>
      <c r="I135" s="1" t="s">
        <v>205</v>
      </c>
      <c r="J135" s="1">
        <v>16253</v>
      </c>
      <c r="K135" s="1">
        <v>107747</v>
      </c>
    </row>
    <row r="136" spans="1:11" x14ac:dyDescent="0.2">
      <c r="A136" s="1" t="s">
        <v>486</v>
      </c>
      <c r="B136" s="1" t="s">
        <v>206</v>
      </c>
      <c r="C136" s="15">
        <v>42220</v>
      </c>
      <c r="D136" s="1" t="s">
        <v>23</v>
      </c>
      <c r="E136" s="1" t="s">
        <v>24</v>
      </c>
      <c r="F136" s="1" t="s">
        <v>617</v>
      </c>
      <c r="G136" s="1">
        <v>1140</v>
      </c>
      <c r="H136" s="1">
        <v>141879</v>
      </c>
      <c r="I136" s="1" t="s">
        <v>205</v>
      </c>
      <c r="J136" s="1">
        <v>16253</v>
      </c>
      <c r="K136" s="1">
        <v>107746</v>
      </c>
    </row>
    <row r="137" spans="1:11" x14ac:dyDescent="0.2">
      <c r="A137" s="1" t="s">
        <v>486</v>
      </c>
      <c r="B137" s="1" t="s">
        <v>346</v>
      </c>
      <c r="C137" s="15">
        <v>42234</v>
      </c>
      <c r="D137" s="1" t="s">
        <v>23</v>
      </c>
      <c r="E137" s="1" t="s">
        <v>22</v>
      </c>
      <c r="F137" s="1" t="s">
        <v>618</v>
      </c>
      <c r="G137" s="1">
        <v>1120.58</v>
      </c>
      <c r="H137" s="1">
        <v>0</v>
      </c>
      <c r="I137" s="1" t="s">
        <v>289</v>
      </c>
      <c r="J137" s="1">
        <v>16071</v>
      </c>
      <c r="K137" s="1">
        <v>110332</v>
      </c>
    </row>
    <row r="138" spans="1:11" x14ac:dyDescent="0.2">
      <c r="A138" s="1" t="s">
        <v>486</v>
      </c>
      <c r="B138" s="1" t="s">
        <v>380</v>
      </c>
      <c r="C138" s="15">
        <v>42234</v>
      </c>
      <c r="D138" s="1" t="s">
        <v>23</v>
      </c>
      <c r="E138" s="1" t="s">
        <v>22</v>
      </c>
      <c r="F138" s="1" t="s">
        <v>619</v>
      </c>
      <c r="G138" s="1">
        <v>214.16</v>
      </c>
      <c r="H138" s="1">
        <v>0</v>
      </c>
      <c r="I138" s="1" t="s">
        <v>379</v>
      </c>
      <c r="J138" s="1">
        <v>16105</v>
      </c>
      <c r="K138" s="1">
        <v>110367</v>
      </c>
    </row>
    <row r="139" spans="1:11" x14ac:dyDescent="0.2">
      <c r="A139" s="1" t="s">
        <v>486</v>
      </c>
      <c r="B139" s="1" t="s">
        <v>340</v>
      </c>
      <c r="C139" s="15">
        <v>42234</v>
      </c>
      <c r="D139" s="1" t="s">
        <v>23</v>
      </c>
      <c r="E139" s="1" t="s">
        <v>22</v>
      </c>
      <c r="F139" s="1" t="s">
        <v>620</v>
      </c>
      <c r="G139" s="1">
        <v>770.66</v>
      </c>
      <c r="H139" s="1">
        <v>0</v>
      </c>
      <c r="I139" s="1" t="s">
        <v>32</v>
      </c>
      <c r="J139" s="1">
        <v>16067</v>
      </c>
      <c r="K139" s="1">
        <v>110328</v>
      </c>
    </row>
    <row r="140" spans="1:11" x14ac:dyDescent="0.2">
      <c r="A140" s="1" t="s">
        <v>486</v>
      </c>
      <c r="B140" s="1" t="s">
        <v>254</v>
      </c>
      <c r="C140" s="15">
        <v>42263</v>
      </c>
      <c r="D140" s="1" t="s">
        <v>23</v>
      </c>
      <c r="E140" s="1" t="s">
        <v>26</v>
      </c>
      <c r="F140" s="1" t="s">
        <v>623</v>
      </c>
      <c r="G140" s="1">
        <v>0</v>
      </c>
      <c r="H140" s="1">
        <v>147968</v>
      </c>
      <c r="J140" s="1">
        <v>16852</v>
      </c>
      <c r="K140" s="1">
        <v>111471</v>
      </c>
    </row>
    <row r="141" spans="1:11" x14ac:dyDescent="0.2">
      <c r="A141" s="1" t="s">
        <v>486</v>
      </c>
      <c r="B141" s="1" t="s">
        <v>254</v>
      </c>
      <c r="C141" s="15">
        <v>42263</v>
      </c>
      <c r="D141" s="1" t="s">
        <v>23</v>
      </c>
      <c r="E141" s="1" t="s">
        <v>22</v>
      </c>
      <c r="F141" s="1" t="s">
        <v>621</v>
      </c>
      <c r="G141" s="1">
        <v>0</v>
      </c>
      <c r="H141" s="1">
        <v>0</v>
      </c>
      <c r="J141" s="1">
        <v>16852</v>
      </c>
      <c r="K141" s="1">
        <v>116356</v>
      </c>
    </row>
    <row r="142" spans="1:11" x14ac:dyDescent="0.2">
      <c r="A142" s="1" t="s">
        <v>486</v>
      </c>
      <c r="B142" s="1" t="s">
        <v>254</v>
      </c>
      <c r="C142" s="15">
        <v>42263</v>
      </c>
      <c r="D142" s="1" t="s">
        <v>23</v>
      </c>
      <c r="E142" s="1" t="s">
        <v>24</v>
      </c>
      <c r="F142" s="1" t="s">
        <v>622</v>
      </c>
      <c r="G142" s="1">
        <v>1680</v>
      </c>
      <c r="H142" s="1">
        <v>147968</v>
      </c>
      <c r="I142" s="1" t="s">
        <v>253</v>
      </c>
      <c r="J142" s="1">
        <v>16852</v>
      </c>
      <c r="K142" s="1">
        <v>111469</v>
      </c>
    </row>
    <row r="143" spans="1:11" x14ac:dyDescent="0.2">
      <c r="A143" s="1" t="s">
        <v>486</v>
      </c>
      <c r="B143" s="1" t="s">
        <v>254</v>
      </c>
      <c r="C143" s="15">
        <v>42263</v>
      </c>
      <c r="D143" s="1" t="s">
        <v>23</v>
      </c>
      <c r="E143" s="1" t="s">
        <v>22</v>
      </c>
      <c r="F143" s="1" t="s">
        <v>621</v>
      </c>
      <c r="G143" s="1">
        <v>0</v>
      </c>
      <c r="H143" s="1">
        <v>0</v>
      </c>
      <c r="I143" s="1" t="s">
        <v>423</v>
      </c>
      <c r="J143" s="1">
        <v>16852</v>
      </c>
      <c r="K143" s="1">
        <v>111472</v>
      </c>
    </row>
    <row r="144" spans="1:11" x14ac:dyDescent="0.2">
      <c r="A144" s="1" t="s">
        <v>486</v>
      </c>
      <c r="B144" s="1" t="s">
        <v>293</v>
      </c>
      <c r="C144" s="15">
        <v>42234</v>
      </c>
      <c r="D144" s="1" t="s">
        <v>23</v>
      </c>
      <c r="E144" s="1" t="s">
        <v>22</v>
      </c>
      <c r="F144" s="1" t="s">
        <v>624</v>
      </c>
      <c r="G144" s="1">
        <v>579.55999999999995</v>
      </c>
      <c r="H144" s="1">
        <v>0</v>
      </c>
      <c r="I144" s="1" t="s">
        <v>292</v>
      </c>
      <c r="J144" s="1">
        <v>16082</v>
      </c>
      <c r="K144" s="1">
        <v>110347</v>
      </c>
    </row>
    <row r="145" spans="1:11" x14ac:dyDescent="0.2">
      <c r="A145" s="1" t="s">
        <v>486</v>
      </c>
      <c r="B145" s="1" t="s">
        <v>185</v>
      </c>
      <c r="C145" s="15">
        <v>42222</v>
      </c>
      <c r="D145" s="1" t="s">
        <v>23</v>
      </c>
      <c r="E145" s="1" t="s">
        <v>24</v>
      </c>
      <c r="F145" s="1" t="s">
        <v>625</v>
      </c>
      <c r="G145" s="1">
        <v>1950</v>
      </c>
      <c r="H145" s="1">
        <v>141486</v>
      </c>
      <c r="I145" s="1" t="s">
        <v>184</v>
      </c>
      <c r="J145" s="1">
        <v>16260</v>
      </c>
      <c r="K145" s="1">
        <v>107715</v>
      </c>
    </row>
    <row r="146" spans="1:11" x14ac:dyDescent="0.2">
      <c r="A146" s="1" t="s">
        <v>486</v>
      </c>
      <c r="B146" s="1" t="s">
        <v>185</v>
      </c>
      <c r="C146" s="15">
        <v>42222</v>
      </c>
      <c r="D146" s="1" t="s">
        <v>23</v>
      </c>
      <c r="E146" s="1" t="s">
        <v>22</v>
      </c>
      <c r="F146" s="1" t="s">
        <v>626</v>
      </c>
      <c r="G146" s="1">
        <v>412.37</v>
      </c>
      <c r="H146" s="1">
        <v>0</v>
      </c>
      <c r="I146" s="1" t="s">
        <v>283</v>
      </c>
      <c r="J146" s="1">
        <v>16260</v>
      </c>
      <c r="K146" s="1">
        <v>107717</v>
      </c>
    </row>
    <row r="147" spans="1:11" x14ac:dyDescent="0.2">
      <c r="A147" s="1" t="s">
        <v>486</v>
      </c>
      <c r="B147" s="1" t="s">
        <v>95</v>
      </c>
      <c r="C147" s="15">
        <v>42222</v>
      </c>
      <c r="D147" s="1" t="s">
        <v>23</v>
      </c>
      <c r="E147" s="1" t="s">
        <v>27</v>
      </c>
      <c r="F147" s="1" t="s">
        <v>628</v>
      </c>
      <c r="G147" s="1">
        <v>42</v>
      </c>
      <c r="H147" s="1">
        <v>141488</v>
      </c>
      <c r="I147" s="1" t="s">
        <v>102</v>
      </c>
      <c r="J147" s="1">
        <v>16261</v>
      </c>
      <c r="K147" s="1">
        <v>109880</v>
      </c>
    </row>
    <row r="148" spans="1:11" x14ac:dyDescent="0.2">
      <c r="A148" s="1" t="s">
        <v>486</v>
      </c>
      <c r="B148" s="1" t="s">
        <v>95</v>
      </c>
      <c r="C148" s="15">
        <v>42222</v>
      </c>
      <c r="D148" s="1" t="s">
        <v>23</v>
      </c>
      <c r="E148" s="1" t="s">
        <v>22</v>
      </c>
      <c r="F148" s="1" t="s">
        <v>627</v>
      </c>
      <c r="G148" s="1">
        <v>99.34</v>
      </c>
      <c r="H148" s="1">
        <v>0</v>
      </c>
      <c r="I148" s="1" t="s">
        <v>308</v>
      </c>
      <c r="J148" s="1">
        <v>16261</v>
      </c>
      <c r="K148" s="1">
        <v>107722</v>
      </c>
    </row>
    <row r="149" spans="1:11" x14ac:dyDescent="0.2">
      <c r="A149" s="1" t="s">
        <v>486</v>
      </c>
      <c r="B149" s="1" t="s">
        <v>95</v>
      </c>
      <c r="C149" s="15">
        <v>42222</v>
      </c>
      <c r="D149" s="1" t="s">
        <v>23</v>
      </c>
      <c r="E149" s="1" t="s">
        <v>24</v>
      </c>
      <c r="F149" s="1" t="s">
        <v>629</v>
      </c>
      <c r="G149" s="1">
        <v>2600</v>
      </c>
      <c r="H149" s="1">
        <v>141488</v>
      </c>
      <c r="I149" s="1" t="s">
        <v>184</v>
      </c>
      <c r="J149" s="1">
        <v>16261</v>
      </c>
      <c r="K149" s="1">
        <v>107720</v>
      </c>
    </row>
    <row r="150" spans="1:11" x14ac:dyDescent="0.2">
      <c r="A150" s="1" t="s">
        <v>486</v>
      </c>
      <c r="B150" s="1" t="s">
        <v>95</v>
      </c>
      <c r="C150" s="15">
        <v>42222</v>
      </c>
      <c r="D150" s="1" t="s">
        <v>23</v>
      </c>
      <c r="E150" s="1" t="s">
        <v>27</v>
      </c>
      <c r="F150" s="1" t="s">
        <v>628</v>
      </c>
      <c r="G150" s="1">
        <v>185.1</v>
      </c>
      <c r="H150" s="1">
        <v>141488</v>
      </c>
      <c r="I150" s="1" t="s">
        <v>94</v>
      </c>
      <c r="J150" s="1">
        <v>16261</v>
      </c>
      <c r="K150" s="1">
        <v>109363</v>
      </c>
    </row>
    <row r="151" spans="1:11" x14ac:dyDescent="0.2">
      <c r="A151" s="1" t="s">
        <v>486</v>
      </c>
      <c r="B151" s="1" t="s">
        <v>384</v>
      </c>
      <c r="C151" s="15">
        <v>42234</v>
      </c>
      <c r="D151" s="1" t="s">
        <v>23</v>
      </c>
      <c r="E151" s="1" t="s">
        <v>22</v>
      </c>
      <c r="F151" s="1" t="s">
        <v>630</v>
      </c>
      <c r="G151" s="1">
        <v>539.89</v>
      </c>
      <c r="H151" s="1">
        <v>0</v>
      </c>
      <c r="I151" s="1" t="s">
        <v>383</v>
      </c>
      <c r="J151" s="1">
        <v>16108</v>
      </c>
      <c r="K151" s="1">
        <v>110370</v>
      </c>
    </row>
    <row r="152" spans="1:11" x14ac:dyDescent="0.2">
      <c r="A152" s="1" t="s">
        <v>486</v>
      </c>
      <c r="B152" s="1" t="s">
        <v>280</v>
      </c>
      <c r="C152" s="15">
        <v>42277</v>
      </c>
      <c r="D152" s="1" t="s">
        <v>23</v>
      </c>
      <c r="E152" s="1" t="s">
        <v>26</v>
      </c>
      <c r="F152" s="1" t="s">
        <v>633</v>
      </c>
      <c r="G152" s="1">
        <v>0</v>
      </c>
      <c r="H152" s="1">
        <v>152223</v>
      </c>
      <c r="J152" s="1">
        <v>17234</v>
      </c>
      <c r="K152" s="1">
        <v>114043</v>
      </c>
    </row>
    <row r="153" spans="1:11" x14ac:dyDescent="0.2">
      <c r="A153" s="1" t="s">
        <v>486</v>
      </c>
      <c r="B153" s="1" t="s">
        <v>280</v>
      </c>
      <c r="C153" s="15">
        <v>42277</v>
      </c>
      <c r="D153" s="1" t="s">
        <v>23</v>
      </c>
      <c r="E153" s="1" t="s">
        <v>24</v>
      </c>
      <c r="F153" s="1" t="s">
        <v>631</v>
      </c>
      <c r="G153" s="1">
        <v>1200</v>
      </c>
      <c r="H153" s="1">
        <v>152223</v>
      </c>
      <c r="I153" s="1" t="s">
        <v>279</v>
      </c>
      <c r="J153" s="1">
        <v>17234</v>
      </c>
      <c r="K153" s="1">
        <v>114041</v>
      </c>
    </row>
    <row r="154" spans="1:11" x14ac:dyDescent="0.2">
      <c r="A154" s="1" t="s">
        <v>486</v>
      </c>
      <c r="B154" s="1" t="s">
        <v>280</v>
      </c>
      <c r="C154" s="15">
        <v>42277</v>
      </c>
      <c r="D154" s="1" t="s">
        <v>23</v>
      </c>
      <c r="E154" s="1" t="s">
        <v>22</v>
      </c>
      <c r="F154" s="1" t="s">
        <v>632</v>
      </c>
      <c r="G154" s="1">
        <v>0</v>
      </c>
      <c r="H154" s="1">
        <v>0</v>
      </c>
      <c r="I154" s="1" t="s">
        <v>440</v>
      </c>
      <c r="J154" s="1">
        <v>17234</v>
      </c>
      <c r="K154" s="1">
        <v>114044</v>
      </c>
    </row>
    <row r="155" spans="1:11" x14ac:dyDescent="0.2">
      <c r="A155" s="1" t="s">
        <v>486</v>
      </c>
      <c r="B155" s="1" t="s">
        <v>299</v>
      </c>
      <c r="C155" s="15">
        <v>42234</v>
      </c>
      <c r="D155" s="1" t="s">
        <v>23</v>
      </c>
      <c r="E155" s="1" t="s">
        <v>22</v>
      </c>
      <c r="F155" s="1" t="s">
        <v>634</v>
      </c>
      <c r="G155" s="1">
        <v>499.92</v>
      </c>
      <c r="H155" s="1">
        <v>0</v>
      </c>
      <c r="I155" s="1" t="s">
        <v>298</v>
      </c>
      <c r="J155" s="1">
        <v>16079</v>
      </c>
      <c r="K155" s="1">
        <v>110344</v>
      </c>
    </row>
    <row r="156" spans="1:11" x14ac:dyDescent="0.2">
      <c r="A156" s="1" t="s">
        <v>486</v>
      </c>
      <c r="B156" s="1" t="s">
        <v>371</v>
      </c>
      <c r="C156" s="15">
        <v>42234</v>
      </c>
      <c r="D156" s="1" t="s">
        <v>23</v>
      </c>
      <c r="E156" s="1" t="s">
        <v>22</v>
      </c>
      <c r="F156" s="1" t="s">
        <v>635</v>
      </c>
      <c r="G156" s="1">
        <v>466.69</v>
      </c>
      <c r="H156" s="1">
        <v>0</v>
      </c>
      <c r="I156" s="1" t="s">
        <v>370</v>
      </c>
      <c r="J156" s="1">
        <v>16098</v>
      </c>
      <c r="K156" s="1">
        <v>110361</v>
      </c>
    </row>
    <row r="157" spans="1:11" x14ac:dyDescent="0.2">
      <c r="A157" s="1" t="s">
        <v>486</v>
      </c>
      <c r="B157" s="1" t="s">
        <v>198</v>
      </c>
      <c r="C157" s="15">
        <v>42219</v>
      </c>
      <c r="D157" s="1" t="s">
        <v>23</v>
      </c>
      <c r="E157" s="1" t="s">
        <v>24</v>
      </c>
      <c r="F157" s="1" t="s">
        <v>636</v>
      </c>
      <c r="G157" s="1">
        <v>1080</v>
      </c>
      <c r="H157" s="1">
        <v>141433</v>
      </c>
      <c r="I157" s="1" t="s">
        <v>197</v>
      </c>
      <c r="J157" s="1">
        <v>16248</v>
      </c>
      <c r="K157" s="1">
        <v>107700</v>
      </c>
    </row>
    <row r="158" spans="1:11" x14ac:dyDescent="0.2">
      <c r="A158" s="1" t="s">
        <v>486</v>
      </c>
      <c r="B158" s="1" t="s">
        <v>198</v>
      </c>
      <c r="C158" s="15">
        <v>42219</v>
      </c>
      <c r="D158" s="1" t="s">
        <v>23</v>
      </c>
      <c r="E158" s="1" t="s">
        <v>22</v>
      </c>
      <c r="F158" s="1" t="s">
        <v>637</v>
      </c>
      <c r="G158" s="1">
        <v>844.8</v>
      </c>
      <c r="H158" s="1">
        <v>0</v>
      </c>
      <c r="I158" s="1" t="s">
        <v>305</v>
      </c>
      <c r="J158" s="1">
        <v>16248</v>
      </c>
      <c r="K158" s="1">
        <v>107702</v>
      </c>
    </row>
    <row r="159" spans="1:11" x14ac:dyDescent="0.2">
      <c r="A159" s="1" t="s">
        <v>486</v>
      </c>
      <c r="B159" s="1" t="s">
        <v>198</v>
      </c>
      <c r="C159" s="15">
        <v>42219</v>
      </c>
      <c r="D159" s="1" t="s">
        <v>23</v>
      </c>
      <c r="E159" s="1" t="s">
        <v>26</v>
      </c>
      <c r="F159" s="1" t="s">
        <v>638</v>
      </c>
      <c r="G159" s="1">
        <v>45.8</v>
      </c>
      <c r="H159" s="1">
        <v>141433</v>
      </c>
      <c r="I159" s="1" t="s">
        <v>445</v>
      </c>
      <c r="J159" s="1">
        <v>16248</v>
      </c>
      <c r="K159" s="1">
        <v>107701</v>
      </c>
    </row>
    <row r="160" spans="1:11" x14ac:dyDescent="0.2">
      <c r="A160" s="1" t="s">
        <v>486</v>
      </c>
      <c r="B160" s="1" t="s">
        <v>212</v>
      </c>
      <c r="C160" s="15">
        <v>42229</v>
      </c>
      <c r="D160" s="1" t="s">
        <v>23</v>
      </c>
      <c r="E160" s="1" t="s">
        <v>22</v>
      </c>
      <c r="F160" s="1" t="s">
        <v>639</v>
      </c>
      <c r="G160" s="1">
        <v>361.6</v>
      </c>
      <c r="H160" s="1">
        <v>0</v>
      </c>
      <c r="I160" s="1" t="s">
        <v>318</v>
      </c>
      <c r="J160" s="1">
        <v>16224</v>
      </c>
      <c r="K160" s="1">
        <v>107773</v>
      </c>
    </row>
    <row r="161" spans="1:11" x14ac:dyDescent="0.2">
      <c r="A161" s="1" t="s">
        <v>486</v>
      </c>
      <c r="B161" s="1" t="s">
        <v>212</v>
      </c>
      <c r="C161" s="15">
        <v>42229</v>
      </c>
      <c r="D161" s="1" t="s">
        <v>23</v>
      </c>
      <c r="E161" s="1" t="s">
        <v>24</v>
      </c>
      <c r="F161" s="1" t="s">
        <v>640</v>
      </c>
      <c r="G161" s="1">
        <v>1200</v>
      </c>
      <c r="H161" s="1">
        <v>141495</v>
      </c>
      <c r="I161" s="1" t="s">
        <v>211</v>
      </c>
      <c r="J161" s="1">
        <v>16224</v>
      </c>
      <c r="K161" s="1">
        <v>107774</v>
      </c>
    </row>
    <row r="162" spans="1:11" x14ac:dyDescent="0.2">
      <c r="A162" s="1" t="s">
        <v>486</v>
      </c>
      <c r="B162" s="1" t="s">
        <v>396</v>
      </c>
      <c r="C162" s="15">
        <v>42234</v>
      </c>
      <c r="D162" s="1" t="s">
        <v>23</v>
      </c>
      <c r="E162" s="1" t="s">
        <v>22</v>
      </c>
      <c r="F162" s="1" t="s">
        <v>641</v>
      </c>
      <c r="G162" s="1">
        <v>749.97</v>
      </c>
      <c r="H162" s="1">
        <v>0</v>
      </c>
      <c r="I162" s="1" t="s">
        <v>296</v>
      </c>
      <c r="J162" s="1">
        <v>16119</v>
      </c>
      <c r="K162" s="1">
        <v>110380</v>
      </c>
    </row>
    <row r="163" spans="1:11" x14ac:dyDescent="0.2">
      <c r="A163" s="1" t="s">
        <v>486</v>
      </c>
      <c r="B163" s="1" t="s">
        <v>226</v>
      </c>
      <c r="C163" s="15">
        <v>42235</v>
      </c>
      <c r="D163" s="1" t="s">
        <v>23</v>
      </c>
      <c r="E163" s="1" t="s">
        <v>24</v>
      </c>
      <c r="F163" s="1" t="s">
        <v>642</v>
      </c>
      <c r="G163" s="1">
        <v>1080</v>
      </c>
      <c r="H163" s="1">
        <v>144776</v>
      </c>
      <c r="I163" s="1" t="s">
        <v>225</v>
      </c>
      <c r="J163" s="1">
        <v>16627</v>
      </c>
      <c r="K163" s="1">
        <v>109803</v>
      </c>
    </row>
    <row r="164" spans="1:11" x14ac:dyDescent="0.2">
      <c r="A164" s="1" t="s">
        <v>486</v>
      </c>
      <c r="B164" s="1" t="s">
        <v>226</v>
      </c>
      <c r="C164" s="15">
        <v>42235</v>
      </c>
      <c r="D164" s="1" t="s">
        <v>23</v>
      </c>
      <c r="E164" s="1" t="s">
        <v>22</v>
      </c>
      <c r="F164" s="1" t="s">
        <v>643</v>
      </c>
      <c r="G164" s="1">
        <v>371.82</v>
      </c>
      <c r="H164" s="1">
        <v>0</v>
      </c>
      <c r="I164" s="1" t="s">
        <v>325</v>
      </c>
      <c r="J164" s="1">
        <v>16627</v>
      </c>
      <c r="K164" s="1">
        <v>109806</v>
      </c>
    </row>
    <row r="165" spans="1:11" x14ac:dyDescent="0.2">
      <c r="A165" s="1" t="s">
        <v>486</v>
      </c>
      <c r="B165" s="1" t="s">
        <v>226</v>
      </c>
      <c r="C165" s="15">
        <v>42235</v>
      </c>
      <c r="D165" s="1" t="s">
        <v>23</v>
      </c>
      <c r="E165" s="1" t="s">
        <v>26</v>
      </c>
      <c r="F165" s="1" t="s">
        <v>644</v>
      </c>
      <c r="G165" s="1">
        <v>39.5</v>
      </c>
      <c r="H165" s="1">
        <v>144776</v>
      </c>
      <c r="I165" s="1" t="s">
        <v>456</v>
      </c>
      <c r="J165" s="1">
        <v>16627</v>
      </c>
      <c r="K165" s="1">
        <v>109805</v>
      </c>
    </row>
    <row r="166" spans="1:11" x14ac:dyDescent="0.2">
      <c r="A166" s="1" t="s">
        <v>486</v>
      </c>
      <c r="B166" s="1" t="s">
        <v>243</v>
      </c>
      <c r="C166" s="15">
        <v>42256</v>
      </c>
      <c r="D166" s="1" t="s">
        <v>23</v>
      </c>
      <c r="E166" s="1" t="s">
        <v>22</v>
      </c>
      <c r="F166" s="1" t="s">
        <v>646</v>
      </c>
      <c r="G166" s="1">
        <v>700</v>
      </c>
      <c r="H166" s="1">
        <v>0</v>
      </c>
      <c r="I166" s="1" t="s">
        <v>418</v>
      </c>
      <c r="J166" s="1">
        <v>16761</v>
      </c>
      <c r="K166" s="1">
        <v>110823</v>
      </c>
    </row>
    <row r="167" spans="1:11" x14ac:dyDescent="0.2">
      <c r="A167" s="1" t="s">
        <v>486</v>
      </c>
      <c r="B167" s="1" t="s">
        <v>243</v>
      </c>
      <c r="C167" s="15">
        <v>42256</v>
      </c>
      <c r="D167" s="1" t="s">
        <v>23</v>
      </c>
      <c r="E167" s="1" t="s">
        <v>24</v>
      </c>
      <c r="F167" s="1" t="s">
        <v>647</v>
      </c>
      <c r="G167" s="1">
        <v>1200</v>
      </c>
      <c r="H167" s="1">
        <v>146279</v>
      </c>
      <c r="I167" s="1" t="s">
        <v>242</v>
      </c>
      <c r="J167" s="1">
        <v>16761</v>
      </c>
      <c r="K167" s="1">
        <v>110820</v>
      </c>
    </row>
    <row r="168" spans="1:11" x14ac:dyDescent="0.2">
      <c r="A168" s="1" t="s">
        <v>486</v>
      </c>
      <c r="B168" s="1" t="s">
        <v>243</v>
      </c>
      <c r="C168" s="15">
        <v>42256</v>
      </c>
      <c r="D168" s="1" t="s">
        <v>23</v>
      </c>
      <c r="E168" s="1" t="s">
        <v>26</v>
      </c>
      <c r="F168" s="1" t="s">
        <v>645</v>
      </c>
      <c r="G168" s="1">
        <v>0</v>
      </c>
      <c r="H168" s="1">
        <v>146279</v>
      </c>
      <c r="J168" s="1">
        <v>16761</v>
      </c>
      <c r="K168" s="1">
        <v>110822</v>
      </c>
    </row>
    <row r="169" spans="1:11" x14ac:dyDescent="0.2">
      <c r="A169" s="1" t="s">
        <v>486</v>
      </c>
      <c r="B169" s="1" t="s">
        <v>483</v>
      </c>
      <c r="C169" s="15">
        <v>42257</v>
      </c>
      <c r="D169" s="1" t="s">
        <v>28</v>
      </c>
      <c r="E169" s="1" t="s">
        <v>24</v>
      </c>
      <c r="F169" s="1" t="s">
        <v>648</v>
      </c>
      <c r="G169" s="1">
        <v>1080</v>
      </c>
      <c r="H169" s="1">
        <v>148556</v>
      </c>
      <c r="I169" s="1" t="s">
        <v>482</v>
      </c>
      <c r="J169" s="1">
        <v>16916</v>
      </c>
      <c r="K169" s="1">
        <v>111872</v>
      </c>
    </row>
    <row r="170" spans="1:11" x14ac:dyDescent="0.2">
      <c r="A170" s="1" t="s">
        <v>486</v>
      </c>
      <c r="B170" s="1" t="s">
        <v>276</v>
      </c>
      <c r="C170" s="15">
        <v>42277</v>
      </c>
      <c r="D170" s="1" t="s">
        <v>23</v>
      </c>
      <c r="E170" s="1" t="s">
        <v>22</v>
      </c>
      <c r="F170" s="1" t="s">
        <v>650</v>
      </c>
      <c r="G170" s="1">
        <v>300</v>
      </c>
      <c r="H170" s="1">
        <v>0</v>
      </c>
      <c r="I170" s="1" t="s">
        <v>437</v>
      </c>
      <c r="J170" s="1">
        <v>17197</v>
      </c>
      <c r="K170" s="1">
        <v>113725</v>
      </c>
    </row>
    <row r="171" spans="1:11" x14ac:dyDescent="0.2">
      <c r="A171" s="1" t="s">
        <v>486</v>
      </c>
      <c r="B171" s="1" t="s">
        <v>276</v>
      </c>
      <c r="C171" s="15">
        <v>42277</v>
      </c>
      <c r="D171" s="1" t="s">
        <v>23</v>
      </c>
      <c r="E171" s="1" t="s">
        <v>24</v>
      </c>
      <c r="F171" s="1" t="s">
        <v>651</v>
      </c>
      <c r="G171" s="1">
        <v>1080</v>
      </c>
      <c r="H171" s="1">
        <v>151737</v>
      </c>
      <c r="I171" s="1" t="s">
        <v>275</v>
      </c>
      <c r="J171" s="1">
        <v>17197</v>
      </c>
      <c r="K171" s="1">
        <v>113722</v>
      </c>
    </row>
    <row r="172" spans="1:11" x14ac:dyDescent="0.2">
      <c r="A172" s="1" t="s">
        <v>486</v>
      </c>
      <c r="B172" s="1" t="s">
        <v>276</v>
      </c>
      <c r="C172" s="15">
        <v>42277</v>
      </c>
      <c r="D172" s="1" t="s">
        <v>23</v>
      </c>
      <c r="E172" s="1" t="s">
        <v>26</v>
      </c>
      <c r="F172" s="1" t="s">
        <v>649</v>
      </c>
      <c r="G172" s="1">
        <v>60.3</v>
      </c>
      <c r="H172" s="1">
        <v>151737</v>
      </c>
      <c r="I172" s="1" t="s">
        <v>478</v>
      </c>
      <c r="J172" s="1">
        <v>17197</v>
      </c>
      <c r="K172" s="1">
        <v>113724</v>
      </c>
    </row>
    <row r="173" spans="1:11" x14ac:dyDescent="0.2">
      <c r="A173" s="1" t="s">
        <v>486</v>
      </c>
      <c r="B173" s="1" t="s">
        <v>389</v>
      </c>
      <c r="C173" s="15">
        <v>42234</v>
      </c>
      <c r="D173" s="1" t="s">
        <v>23</v>
      </c>
      <c r="E173" s="1" t="s">
        <v>22</v>
      </c>
      <c r="F173" s="1" t="s">
        <v>652</v>
      </c>
      <c r="G173" s="1">
        <v>1000</v>
      </c>
      <c r="H173" s="1">
        <v>0</v>
      </c>
      <c r="I173" s="1" t="s">
        <v>296</v>
      </c>
      <c r="J173" s="1">
        <v>16113</v>
      </c>
      <c r="K173" s="1">
        <v>110374</v>
      </c>
    </row>
    <row r="174" spans="1:11" x14ac:dyDescent="0.2">
      <c r="A174" s="1" t="s">
        <v>486</v>
      </c>
      <c r="B174" s="1" t="s">
        <v>40</v>
      </c>
      <c r="C174" s="15">
        <v>42227</v>
      </c>
      <c r="D174" s="1" t="s">
        <v>23</v>
      </c>
      <c r="E174" s="1" t="s">
        <v>24</v>
      </c>
      <c r="F174" s="1" t="s">
        <v>653</v>
      </c>
      <c r="G174" s="1">
        <v>2600</v>
      </c>
      <c r="H174" s="1">
        <v>141499</v>
      </c>
      <c r="I174" s="1" t="s">
        <v>193</v>
      </c>
      <c r="J174" s="1">
        <v>16212</v>
      </c>
      <c r="K174" s="1">
        <v>106921</v>
      </c>
    </row>
    <row r="175" spans="1:11" x14ac:dyDescent="0.2">
      <c r="A175" s="1" t="s">
        <v>486</v>
      </c>
      <c r="B175" s="1" t="s">
        <v>40</v>
      </c>
      <c r="C175" s="15">
        <v>42227</v>
      </c>
      <c r="D175" s="1" t="s">
        <v>23</v>
      </c>
      <c r="E175" s="1" t="s">
        <v>27</v>
      </c>
      <c r="F175" s="1" t="s">
        <v>654</v>
      </c>
      <c r="G175" s="1">
        <v>516.20000000000005</v>
      </c>
      <c r="H175" s="1">
        <v>141499</v>
      </c>
      <c r="I175" s="1" t="s">
        <v>39</v>
      </c>
      <c r="J175" s="1">
        <v>16212</v>
      </c>
      <c r="K175" s="1">
        <v>108050</v>
      </c>
    </row>
    <row r="176" spans="1:11" x14ac:dyDescent="0.2">
      <c r="A176" s="1" t="s">
        <v>486</v>
      </c>
      <c r="B176" s="1" t="s">
        <v>40</v>
      </c>
      <c r="C176" s="15">
        <v>42227</v>
      </c>
      <c r="D176" s="1" t="s">
        <v>23</v>
      </c>
      <c r="E176" s="1" t="s">
        <v>25</v>
      </c>
      <c r="F176" s="1" t="s">
        <v>655</v>
      </c>
      <c r="G176" s="1">
        <v>189</v>
      </c>
      <c r="H176" s="1">
        <v>141499</v>
      </c>
      <c r="I176" s="1" t="s">
        <v>172</v>
      </c>
      <c r="J176" s="1">
        <v>16212</v>
      </c>
      <c r="K176" s="1">
        <v>112725</v>
      </c>
    </row>
    <row r="177" spans="1:11" x14ac:dyDescent="0.2">
      <c r="A177" s="1" t="s">
        <v>486</v>
      </c>
      <c r="B177" s="1" t="s">
        <v>40</v>
      </c>
      <c r="C177" s="15">
        <v>42227</v>
      </c>
      <c r="D177" s="1" t="s">
        <v>23</v>
      </c>
      <c r="E177" s="1" t="s">
        <v>22</v>
      </c>
      <c r="F177" s="1" t="s">
        <v>656</v>
      </c>
      <c r="G177" s="1">
        <v>460.08</v>
      </c>
      <c r="H177" s="1">
        <v>0</v>
      </c>
      <c r="I177" s="1" t="s">
        <v>309</v>
      </c>
      <c r="J177" s="1">
        <v>16212</v>
      </c>
      <c r="K177" s="1">
        <v>107726</v>
      </c>
    </row>
    <row r="178" spans="1:11" x14ac:dyDescent="0.2">
      <c r="A178" s="1" t="s">
        <v>486</v>
      </c>
      <c r="B178" s="1" t="s">
        <v>40</v>
      </c>
      <c r="C178" s="15">
        <v>42227</v>
      </c>
      <c r="D178" s="1" t="s">
        <v>23</v>
      </c>
      <c r="E178" s="1" t="s">
        <v>27</v>
      </c>
      <c r="F178" s="1" t="s">
        <v>654</v>
      </c>
      <c r="G178" s="1">
        <v>42</v>
      </c>
      <c r="H178" s="1">
        <v>141499</v>
      </c>
      <c r="I178" s="1" t="s">
        <v>41</v>
      </c>
      <c r="J178" s="1">
        <v>16212</v>
      </c>
      <c r="K178" s="1">
        <v>108051</v>
      </c>
    </row>
    <row r="179" spans="1:11" x14ac:dyDescent="0.2">
      <c r="A179" s="1" t="s">
        <v>486</v>
      </c>
      <c r="B179" s="1" t="s">
        <v>40</v>
      </c>
      <c r="C179" s="15">
        <v>42227</v>
      </c>
      <c r="D179" s="1" t="s">
        <v>23</v>
      </c>
      <c r="E179" s="1" t="s">
        <v>22</v>
      </c>
      <c r="F179" s="1" t="s">
        <v>656</v>
      </c>
      <c r="G179" s="1">
        <v>0</v>
      </c>
      <c r="H179" s="1">
        <v>0</v>
      </c>
      <c r="I179" s="1" t="s">
        <v>435</v>
      </c>
      <c r="J179" s="1">
        <v>16212</v>
      </c>
      <c r="K179" s="1">
        <v>113163</v>
      </c>
    </row>
    <row r="180" spans="1:11" x14ac:dyDescent="0.2">
      <c r="A180" s="1" t="s">
        <v>486</v>
      </c>
      <c r="B180" s="1" t="s">
        <v>411</v>
      </c>
      <c r="C180" s="15">
        <v>42234</v>
      </c>
      <c r="D180" s="1" t="s">
        <v>23</v>
      </c>
      <c r="E180" s="1" t="s">
        <v>22</v>
      </c>
      <c r="F180" s="1" t="s">
        <v>657</v>
      </c>
      <c r="G180" s="1">
        <v>1008.24</v>
      </c>
      <c r="H180" s="1">
        <v>0</v>
      </c>
      <c r="I180" s="1" t="s">
        <v>410</v>
      </c>
      <c r="J180" s="1">
        <v>16130</v>
      </c>
      <c r="K180" s="1">
        <v>110393</v>
      </c>
    </row>
    <row r="181" spans="1:11" x14ac:dyDescent="0.2">
      <c r="A181" s="1" t="s">
        <v>486</v>
      </c>
      <c r="B181" s="1" t="s">
        <v>362</v>
      </c>
      <c r="C181" s="15">
        <v>42234</v>
      </c>
      <c r="D181" s="1" t="s">
        <v>23</v>
      </c>
      <c r="E181" s="1" t="s">
        <v>22</v>
      </c>
      <c r="F181" s="1" t="s">
        <v>658</v>
      </c>
      <c r="G181" s="1">
        <v>249.99</v>
      </c>
      <c r="H181" s="1">
        <v>0</v>
      </c>
      <c r="I181" s="1" t="s">
        <v>354</v>
      </c>
      <c r="J181" s="1">
        <v>16091</v>
      </c>
      <c r="K181" s="1">
        <v>110355</v>
      </c>
    </row>
    <row r="182" spans="1:11" x14ac:dyDescent="0.2">
      <c r="A182" s="1" t="s">
        <v>486</v>
      </c>
      <c r="B182" s="1" t="s">
        <v>376</v>
      </c>
      <c r="C182" s="15">
        <v>42234</v>
      </c>
      <c r="D182" s="1" t="s">
        <v>23</v>
      </c>
      <c r="E182" s="1" t="s">
        <v>22</v>
      </c>
      <c r="F182" s="1" t="s">
        <v>659</v>
      </c>
      <c r="G182" s="1">
        <v>498.3</v>
      </c>
      <c r="H182" s="1">
        <v>0</v>
      </c>
      <c r="I182" s="1" t="s">
        <v>375</v>
      </c>
      <c r="J182" s="1">
        <v>16101</v>
      </c>
      <c r="K182" s="1">
        <v>110364</v>
      </c>
    </row>
    <row r="183" spans="1:11" x14ac:dyDescent="0.2">
      <c r="A183" s="1" t="s">
        <v>486</v>
      </c>
      <c r="B183" s="1" t="s">
        <v>374</v>
      </c>
      <c r="C183" s="15">
        <v>42234</v>
      </c>
      <c r="D183" s="1" t="s">
        <v>23</v>
      </c>
      <c r="E183" s="1" t="s">
        <v>22</v>
      </c>
      <c r="F183" s="1" t="s">
        <v>660</v>
      </c>
      <c r="G183" s="1">
        <v>673.92</v>
      </c>
      <c r="H183" s="1">
        <v>0</v>
      </c>
      <c r="I183" s="1" t="s">
        <v>352</v>
      </c>
      <c r="J183" s="1">
        <v>16100</v>
      </c>
      <c r="K183" s="1">
        <v>110363</v>
      </c>
    </row>
    <row r="184" spans="1:11" x14ac:dyDescent="0.2">
      <c r="A184" s="1" t="s">
        <v>486</v>
      </c>
      <c r="B184" s="1" t="s">
        <v>290</v>
      </c>
      <c r="C184" s="15">
        <v>42234</v>
      </c>
      <c r="D184" s="1" t="s">
        <v>23</v>
      </c>
      <c r="E184" s="1" t="s">
        <v>22</v>
      </c>
      <c r="F184" s="1" t="s">
        <v>661</v>
      </c>
      <c r="G184" s="1">
        <v>750.03</v>
      </c>
      <c r="H184" s="1">
        <v>0</v>
      </c>
      <c r="I184" s="1" t="s">
        <v>289</v>
      </c>
      <c r="J184" s="1">
        <v>16077</v>
      </c>
      <c r="K184" s="1">
        <v>110342</v>
      </c>
    </row>
    <row r="185" spans="1:11" x14ac:dyDescent="0.2">
      <c r="A185" s="1" t="s">
        <v>486</v>
      </c>
      <c r="B185" s="1" t="s">
        <v>262</v>
      </c>
      <c r="C185" s="15">
        <v>42270</v>
      </c>
      <c r="D185" s="1" t="s">
        <v>23</v>
      </c>
      <c r="E185" s="1" t="s">
        <v>26</v>
      </c>
      <c r="F185" s="1" t="s">
        <v>664</v>
      </c>
      <c r="G185" s="1">
        <v>0</v>
      </c>
      <c r="H185" s="1">
        <v>149248</v>
      </c>
      <c r="J185" s="1">
        <v>16972</v>
      </c>
      <c r="K185" s="1">
        <v>112222</v>
      </c>
    </row>
    <row r="186" spans="1:11" x14ac:dyDescent="0.2">
      <c r="A186" s="1" t="s">
        <v>486</v>
      </c>
      <c r="B186" s="1" t="s">
        <v>262</v>
      </c>
      <c r="C186" s="15">
        <v>42270</v>
      </c>
      <c r="D186" s="1" t="s">
        <v>23</v>
      </c>
      <c r="E186" s="1" t="s">
        <v>22</v>
      </c>
      <c r="F186" s="1" t="s">
        <v>663</v>
      </c>
      <c r="G186" s="1">
        <v>56.68</v>
      </c>
      <c r="H186" s="1">
        <v>0</v>
      </c>
      <c r="I186" s="1" t="s">
        <v>444</v>
      </c>
      <c r="J186" s="1">
        <v>16972</v>
      </c>
      <c r="K186" s="1">
        <v>117329</v>
      </c>
    </row>
    <row r="187" spans="1:11" x14ac:dyDescent="0.2">
      <c r="A187" s="1" t="s">
        <v>486</v>
      </c>
      <c r="B187" s="1" t="s">
        <v>262</v>
      </c>
      <c r="C187" s="15">
        <v>42270</v>
      </c>
      <c r="D187" s="1" t="s">
        <v>23</v>
      </c>
      <c r="E187" s="1" t="s">
        <v>24</v>
      </c>
      <c r="F187" s="1" t="s">
        <v>662</v>
      </c>
      <c r="G187" s="1">
        <v>1500</v>
      </c>
      <c r="H187" s="1">
        <v>149248</v>
      </c>
      <c r="I187" s="1" t="s">
        <v>261</v>
      </c>
      <c r="J187" s="1">
        <v>16972</v>
      </c>
      <c r="K187" s="1">
        <v>112220</v>
      </c>
    </row>
    <row r="188" spans="1:11" x14ac:dyDescent="0.2">
      <c r="A188" s="1" t="s">
        <v>486</v>
      </c>
      <c r="B188" s="1" t="s">
        <v>262</v>
      </c>
      <c r="C188" s="15">
        <v>42270</v>
      </c>
      <c r="D188" s="1" t="s">
        <v>23</v>
      </c>
      <c r="E188" s="1" t="s">
        <v>22</v>
      </c>
      <c r="F188" s="1" t="s">
        <v>663</v>
      </c>
      <c r="G188" s="1">
        <v>319.94</v>
      </c>
      <c r="H188" s="1">
        <v>0</v>
      </c>
      <c r="I188" s="1" t="s">
        <v>429</v>
      </c>
      <c r="J188" s="1">
        <v>16972</v>
      </c>
      <c r="K188" s="1">
        <v>112223</v>
      </c>
    </row>
    <row r="189" spans="1:11" x14ac:dyDescent="0.2">
      <c r="A189" s="1" t="s">
        <v>486</v>
      </c>
      <c r="B189" s="1" t="s">
        <v>255</v>
      </c>
      <c r="C189" s="15">
        <v>42270</v>
      </c>
      <c r="D189" s="1" t="s">
        <v>23</v>
      </c>
      <c r="E189" s="1" t="s">
        <v>24</v>
      </c>
      <c r="F189" s="1" t="s">
        <v>669</v>
      </c>
      <c r="G189" s="1">
        <v>2000</v>
      </c>
      <c r="H189" s="1">
        <v>148243</v>
      </c>
      <c r="I189" s="1" t="s">
        <v>186</v>
      </c>
      <c r="J189" s="1">
        <v>16892</v>
      </c>
      <c r="K189" s="1">
        <v>111675</v>
      </c>
    </row>
    <row r="190" spans="1:11" x14ac:dyDescent="0.2">
      <c r="A190" s="1" t="s">
        <v>486</v>
      </c>
      <c r="B190" s="1" t="s">
        <v>255</v>
      </c>
      <c r="C190" s="15">
        <v>42270</v>
      </c>
      <c r="D190" s="1" t="s">
        <v>23</v>
      </c>
      <c r="E190" s="1" t="s">
        <v>22</v>
      </c>
      <c r="F190" s="1" t="s">
        <v>670</v>
      </c>
      <c r="G190" s="1">
        <v>1715.17</v>
      </c>
      <c r="H190" s="1">
        <v>0</v>
      </c>
      <c r="I190" s="1" t="s">
        <v>424</v>
      </c>
      <c r="J190" s="1">
        <v>16892</v>
      </c>
      <c r="K190" s="1">
        <v>111678</v>
      </c>
    </row>
    <row r="191" spans="1:11" x14ac:dyDescent="0.2">
      <c r="A191" s="1" t="s">
        <v>486</v>
      </c>
      <c r="B191" s="1" t="s">
        <v>255</v>
      </c>
      <c r="C191" s="15">
        <v>42270</v>
      </c>
      <c r="D191" s="1" t="s">
        <v>23</v>
      </c>
      <c r="E191" s="1" t="s">
        <v>25</v>
      </c>
      <c r="F191" s="1" t="s">
        <v>671</v>
      </c>
      <c r="G191" s="1">
        <v>157.07</v>
      </c>
      <c r="H191" s="1">
        <v>149248</v>
      </c>
      <c r="I191" s="1" t="s">
        <v>672</v>
      </c>
      <c r="J191" s="1">
        <v>16892</v>
      </c>
      <c r="K191" s="1">
        <v>112703</v>
      </c>
    </row>
    <row r="192" spans="1:11" x14ac:dyDescent="0.2">
      <c r="A192" s="1" t="s">
        <v>486</v>
      </c>
      <c r="B192" s="1" t="s">
        <v>255</v>
      </c>
      <c r="C192" s="15">
        <v>42270</v>
      </c>
      <c r="D192" s="1" t="s">
        <v>23</v>
      </c>
      <c r="E192" s="1" t="s">
        <v>27</v>
      </c>
      <c r="F192" s="1" t="s">
        <v>665</v>
      </c>
      <c r="G192" s="1">
        <v>285.60000000000002</v>
      </c>
      <c r="H192" s="1">
        <v>149248</v>
      </c>
      <c r="I192" s="1" t="s">
        <v>666</v>
      </c>
      <c r="J192" s="1">
        <v>16892</v>
      </c>
      <c r="K192" s="1">
        <v>112701</v>
      </c>
    </row>
    <row r="193" spans="1:11" x14ac:dyDescent="0.2">
      <c r="A193" s="1" t="s">
        <v>486</v>
      </c>
      <c r="B193" s="1" t="s">
        <v>255</v>
      </c>
      <c r="C193" s="15">
        <v>42270</v>
      </c>
      <c r="D193" s="1" t="s">
        <v>23</v>
      </c>
      <c r="E193" s="1" t="s">
        <v>26</v>
      </c>
      <c r="F193" s="1" t="s">
        <v>667</v>
      </c>
      <c r="G193" s="1">
        <v>0</v>
      </c>
      <c r="H193" s="1">
        <v>148243</v>
      </c>
      <c r="J193" s="1">
        <v>16892</v>
      </c>
      <c r="K193" s="1">
        <v>111677</v>
      </c>
    </row>
    <row r="194" spans="1:11" x14ac:dyDescent="0.2">
      <c r="A194" s="1" t="s">
        <v>486</v>
      </c>
      <c r="B194" s="1" t="s">
        <v>255</v>
      </c>
      <c r="C194" s="15">
        <v>42270</v>
      </c>
      <c r="D194" s="1" t="s">
        <v>23</v>
      </c>
      <c r="E194" s="1" t="s">
        <v>27</v>
      </c>
      <c r="F194" s="1" t="s">
        <v>665</v>
      </c>
      <c r="G194" s="1">
        <v>21</v>
      </c>
      <c r="H194" s="1">
        <v>0</v>
      </c>
      <c r="I194" s="1" t="s">
        <v>668</v>
      </c>
      <c r="J194" s="1">
        <v>16892</v>
      </c>
      <c r="K194" s="1">
        <v>112702</v>
      </c>
    </row>
    <row r="195" spans="1:11" x14ac:dyDescent="0.2">
      <c r="A195" s="1" t="s">
        <v>486</v>
      </c>
      <c r="B195" s="1" t="s">
        <v>343</v>
      </c>
      <c r="C195" s="15">
        <v>42234</v>
      </c>
      <c r="D195" s="1" t="s">
        <v>23</v>
      </c>
      <c r="E195" s="1" t="s">
        <v>22</v>
      </c>
      <c r="F195" s="1" t="s">
        <v>673</v>
      </c>
      <c r="G195" s="1">
        <v>995.65</v>
      </c>
      <c r="H195" s="1">
        <v>0</v>
      </c>
      <c r="I195" s="1" t="s">
        <v>342</v>
      </c>
      <c r="J195" s="1">
        <v>16069</v>
      </c>
      <c r="K195" s="1">
        <v>110330</v>
      </c>
    </row>
    <row r="196" spans="1:11" x14ac:dyDescent="0.2">
      <c r="A196" s="1" t="s">
        <v>486</v>
      </c>
      <c r="B196" s="1" t="s">
        <v>338</v>
      </c>
      <c r="C196" s="15">
        <v>42234</v>
      </c>
      <c r="D196" s="1" t="s">
        <v>23</v>
      </c>
      <c r="E196" s="1" t="s">
        <v>22</v>
      </c>
      <c r="F196" s="1" t="s">
        <v>674</v>
      </c>
      <c r="G196" s="1">
        <v>952.02</v>
      </c>
      <c r="H196" s="1">
        <v>0</v>
      </c>
      <c r="I196" s="1" t="s">
        <v>337</v>
      </c>
      <c r="J196" s="1">
        <v>16064</v>
      </c>
      <c r="K196" s="1">
        <v>110325</v>
      </c>
    </row>
    <row r="197" spans="1:11" x14ac:dyDescent="0.2">
      <c r="A197" s="1" t="s">
        <v>486</v>
      </c>
      <c r="B197" s="1" t="s">
        <v>163</v>
      </c>
      <c r="C197" s="15">
        <v>42269</v>
      </c>
      <c r="D197" s="1" t="s">
        <v>23</v>
      </c>
      <c r="E197" s="1" t="s">
        <v>26</v>
      </c>
      <c r="F197" s="1" t="s">
        <v>678</v>
      </c>
      <c r="G197" s="1">
        <v>0</v>
      </c>
      <c r="H197" s="1">
        <v>148249</v>
      </c>
      <c r="J197" s="1">
        <v>16893</v>
      </c>
      <c r="K197" s="1">
        <v>111683</v>
      </c>
    </row>
    <row r="198" spans="1:11" x14ac:dyDescent="0.2">
      <c r="A198" s="1" t="s">
        <v>486</v>
      </c>
      <c r="B198" s="1" t="s">
        <v>163</v>
      </c>
      <c r="C198" s="15">
        <v>42269</v>
      </c>
      <c r="D198" s="1" t="s">
        <v>23</v>
      </c>
      <c r="E198" s="1" t="s">
        <v>27</v>
      </c>
      <c r="F198" s="1" t="s">
        <v>677</v>
      </c>
      <c r="G198" s="1">
        <v>285.60000000000002</v>
      </c>
      <c r="H198" s="1">
        <v>148249</v>
      </c>
      <c r="I198" s="1" t="s">
        <v>162</v>
      </c>
      <c r="J198" s="1">
        <v>16893</v>
      </c>
      <c r="K198" s="1">
        <v>112963</v>
      </c>
    </row>
    <row r="199" spans="1:11" x14ac:dyDescent="0.2">
      <c r="A199" s="1" t="s">
        <v>486</v>
      </c>
      <c r="B199" s="1" t="s">
        <v>163</v>
      </c>
      <c r="C199" s="15">
        <v>42269</v>
      </c>
      <c r="D199" s="1" t="s">
        <v>23</v>
      </c>
      <c r="E199" s="1" t="s">
        <v>24</v>
      </c>
      <c r="F199" s="1" t="s">
        <v>675</v>
      </c>
      <c r="G199" s="1">
        <v>1500</v>
      </c>
      <c r="H199" s="1">
        <v>148249</v>
      </c>
      <c r="I199" s="1" t="s">
        <v>186</v>
      </c>
      <c r="J199" s="1">
        <v>16893</v>
      </c>
      <c r="K199" s="1">
        <v>111681</v>
      </c>
    </row>
    <row r="200" spans="1:11" x14ac:dyDescent="0.2">
      <c r="A200" s="1" t="s">
        <v>486</v>
      </c>
      <c r="B200" s="1" t="s">
        <v>163</v>
      </c>
      <c r="C200" s="15">
        <v>42269</v>
      </c>
      <c r="D200" s="1" t="s">
        <v>23</v>
      </c>
      <c r="E200" s="1" t="s">
        <v>22</v>
      </c>
      <c r="F200" s="1" t="s">
        <v>676</v>
      </c>
      <c r="G200" s="1">
        <v>122.19</v>
      </c>
      <c r="H200" s="1">
        <v>0</v>
      </c>
      <c r="I200" s="1" t="s">
        <v>425</v>
      </c>
      <c r="J200" s="1">
        <v>16893</v>
      </c>
      <c r="K200" s="1">
        <v>111684</v>
      </c>
    </row>
    <row r="201" spans="1:11" x14ac:dyDescent="0.2">
      <c r="A201" s="1" t="s">
        <v>486</v>
      </c>
      <c r="B201" s="1" t="s">
        <v>163</v>
      </c>
      <c r="C201" s="15">
        <v>42269</v>
      </c>
      <c r="D201" s="1" t="s">
        <v>23</v>
      </c>
      <c r="E201" s="1" t="s">
        <v>27</v>
      </c>
      <c r="F201" s="1" t="s">
        <v>677</v>
      </c>
      <c r="G201" s="1">
        <v>21</v>
      </c>
      <c r="H201" s="1">
        <v>148249</v>
      </c>
      <c r="I201" s="1" t="s">
        <v>162</v>
      </c>
      <c r="J201" s="1">
        <v>16893</v>
      </c>
      <c r="K201" s="1">
        <v>112969</v>
      </c>
    </row>
    <row r="202" spans="1:11" x14ac:dyDescent="0.2">
      <c r="A202" s="1" t="s">
        <v>486</v>
      </c>
      <c r="B202" s="1" t="s">
        <v>174</v>
      </c>
      <c r="C202" s="15">
        <v>42269</v>
      </c>
      <c r="D202" s="1" t="s">
        <v>23</v>
      </c>
      <c r="E202" s="1" t="s">
        <v>26</v>
      </c>
      <c r="F202" s="1" t="s">
        <v>681</v>
      </c>
      <c r="G202" s="1">
        <v>0</v>
      </c>
      <c r="H202" s="1">
        <v>148272</v>
      </c>
      <c r="J202" s="1">
        <v>16895</v>
      </c>
      <c r="K202" s="1">
        <v>111698</v>
      </c>
    </row>
    <row r="203" spans="1:11" x14ac:dyDescent="0.2">
      <c r="A203" s="1" t="s">
        <v>486</v>
      </c>
      <c r="B203" s="1" t="s">
        <v>174</v>
      </c>
      <c r="C203" s="15">
        <v>42269</v>
      </c>
      <c r="D203" s="1" t="s">
        <v>23</v>
      </c>
      <c r="E203" s="1" t="s">
        <v>24</v>
      </c>
      <c r="F203" s="1" t="s">
        <v>682</v>
      </c>
      <c r="G203" s="1">
        <v>2000</v>
      </c>
      <c r="H203" s="1">
        <v>148272</v>
      </c>
      <c r="I203" s="1" t="s">
        <v>186</v>
      </c>
      <c r="J203" s="1">
        <v>16895</v>
      </c>
      <c r="K203" s="1">
        <v>111696</v>
      </c>
    </row>
    <row r="204" spans="1:11" x14ac:dyDescent="0.2">
      <c r="A204" s="1" t="s">
        <v>486</v>
      </c>
      <c r="B204" s="1" t="s">
        <v>174</v>
      </c>
      <c r="C204" s="15">
        <v>42269</v>
      </c>
      <c r="D204" s="1" t="s">
        <v>23</v>
      </c>
      <c r="E204" s="1" t="s">
        <v>22</v>
      </c>
      <c r="F204" s="1" t="s">
        <v>679</v>
      </c>
      <c r="G204" s="1">
        <v>1666.24</v>
      </c>
      <c r="H204" s="1">
        <v>0</v>
      </c>
      <c r="I204" s="1" t="s">
        <v>286</v>
      </c>
      <c r="J204" s="1">
        <v>16895</v>
      </c>
      <c r="K204" s="1">
        <v>111699</v>
      </c>
    </row>
    <row r="205" spans="1:11" x14ac:dyDescent="0.2">
      <c r="A205" s="1" t="s">
        <v>486</v>
      </c>
      <c r="B205" s="1" t="s">
        <v>174</v>
      </c>
      <c r="C205" s="15">
        <v>42269</v>
      </c>
      <c r="D205" s="1" t="s">
        <v>23</v>
      </c>
      <c r="E205" s="1" t="s">
        <v>25</v>
      </c>
      <c r="F205" s="1" t="s">
        <v>680</v>
      </c>
      <c r="G205" s="1">
        <v>179.67</v>
      </c>
      <c r="H205" s="1">
        <v>148272</v>
      </c>
      <c r="I205" s="1" t="s">
        <v>173</v>
      </c>
      <c r="J205" s="1">
        <v>16895</v>
      </c>
      <c r="K205" s="1">
        <v>112970</v>
      </c>
    </row>
    <row r="206" spans="1:11" x14ac:dyDescent="0.2">
      <c r="A206" s="1" t="s">
        <v>486</v>
      </c>
      <c r="B206" s="1" t="s">
        <v>349</v>
      </c>
      <c r="C206" s="15">
        <v>42234</v>
      </c>
      <c r="D206" s="1" t="s">
        <v>23</v>
      </c>
      <c r="E206" s="1" t="s">
        <v>22</v>
      </c>
      <c r="F206" s="1" t="s">
        <v>683</v>
      </c>
      <c r="G206" s="1">
        <v>750</v>
      </c>
      <c r="H206" s="1">
        <v>0</v>
      </c>
      <c r="I206" s="1" t="s">
        <v>294</v>
      </c>
      <c r="J206" s="1">
        <v>16074</v>
      </c>
      <c r="K206" s="1">
        <v>110334</v>
      </c>
    </row>
    <row r="207" spans="1:11" x14ac:dyDescent="0.2">
      <c r="A207" s="1" t="s">
        <v>486</v>
      </c>
      <c r="B207" s="1" t="s">
        <v>208</v>
      </c>
      <c r="C207" s="15">
        <v>42220</v>
      </c>
      <c r="D207" s="1" t="s">
        <v>23</v>
      </c>
      <c r="E207" s="1" t="s">
        <v>26</v>
      </c>
      <c r="F207" s="1" t="s">
        <v>684</v>
      </c>
      <c r="G207" s="1">
        <v>11.5</v>
      </c>
      <c r="H207" s="1">
        <v>141457</v>
      </c>
      <c r="I207" s="1" t="s">
        <v>452</v>
      </c>
      <c r="J207" s="1">
        <v>16258</v>
      </c>
      <c r="K207" s="1">
        <v>107760</v>
      </c>
    </row>
    <row r="208" spans="1:11" x14ac:dyDescent="0.2">
      <c r="A208" s="1" t="s">
        <v>486</v>
      </c>
      <c r="B208" s="1" t="s">
        <v>208</v>
      </c>
      <c r="C208" s="15">
        <v>42220</v>
      </c>
      <c r="D208" s="1" t="s">
        <v>23</v>
      </c>
      <c r="E208" s="1" t="s">
        <v>24</v>
      </c>
      <c r="F208" s="1" t="s">
        <v>686</v>
      </c>
      <c r="G208" s="1">
        <v>1560</v>
      </c>
      <c r="H208" s="1">
        <v>141457</v>
      </c>
      <c r="I208" s="1" t="s">
        <v>184</v>
      </c>
      <c r="J208" s="1">
        <v>16258</v>
      </c>
      <c r="K208" s="1">
        <v>107755</v>
      </c>
    </row>
    <row r="209" spans="1:11" x14ac:dyDescent="0.2">
      <c r="A209" s="1" t="s">
        <v>486</v>
      </c>
      <c r="B209" s="1" t="s">
        <v>208</v>
      </c>
      <c r="C209" s="15">
        <v>42220</v>
      </c>
      <c r="D209" s="1" t="s">
        <v>23</v>
      </c>
      <c r="E209" s="1" t="s">
        <v>22</v>
      </c>
      <c r="F209" s="1" t="s">
        <v>685</v>
      </c>
      <c r="G209" s="1">
        <v>1000</v>
      </c>
      <c r="H209" s="1">
        <v>0</v>
      </c>
      <c r="I209" s="1" t="s">
        <v>315</v>
      </c>
      <c r="J209" s="1">
        <v>16258</v>
      </c>
      <c r="K209" s="1">
        <v>107761</v>
      </c>
    </row>
    <row r="210" spans="1:11" x14ac:dyDescent="0.2">
      <c r="A210" s="1" t="s">
        <v>486</v>
      </c>
      <c r="B210" s="1" t="s">
        <v>215</v>
      </c>
      <c r="C210" s="15">
        <v>42229</v>
      </c>
      <c r="D210" s="1" t="s">
        <v>23</v>
      </c>
      <c r="E210" s="1" t="s">
        <v>22</v>
      </c>
      <c r="F210" s="1" t="s">
        <v>687</v>
      </c>
      <c r="G210" s="1">
        <v>846.45</v>
      </c>
      <c r="H210" s="1">
        <v>0</v>
      </c>
      <c r="I210" s="1" t="s">
        <v>320</v>
      </c>
      <c r="J210" s="1">
        <v>16259</v>
      </c>
      <c r="K210" s="1">
        <v>107783</v>
      </c>
    </row>
    <row r="211" spans="1:11" x14ac:dyDescent="0.2">
      <c r="A211" s="1" t="s">
        <v>486</v>
      </c>
      <c r="B211" s="1" t="s">
        <v>215</v>
      </c>
      <c r="C211" s="15">
        <v>42229</v>
      </c>
      <c r="D211" s="1" t="s">
        <v>23</v>
      </c>
      <c r="E211" s="1" t="s">
        <v>26</v>
      </c>
      <c r="F211" s="1" t="s">
        <v>688</v>
      </c>
      <c r="G211" s="1">
        <v>26.15</v>
      </c>
      <c r="H211" s="1">
        <v>141710</v>
      </c>
      <c r="I211" s="1" t="s">
        <v>450</v>
      </c>
      <c r="J211" s="1">
        <v>16259</v>
      </c>
      <c r="K211" s="1">
        <v>107786</v>
      </c>
    </row>
    <row r="212" spans="1:11" x14ac:dyDescent="0.2">
      <c r="A212" s="1" t="s">
        <v>486</v>
      </c>
      <c r="B212" s="1" t="s">
        <v>215</v>
      </c>
      <c r="C212" s="15">
        <v>42229</v>
      </c>
      <c r="D212" s="1" t="s">
        <v>23</v>
      </c>
      <c r="E212" s="1" t="s">
        <v>24</v>
      </c>
      <c r="F212" s="1" t="s">
        <v>689</v>
      </c>
      <c r="G212" s="1">
        <v>1560</v>
      </c>
      <c r="H212" s="1">
        <v>141710</v>
      </c>
      <c r="I212" s="1" t="s">
        <v>213</v>
      </c>
      <c r="J212" s="1">
        <v>16259</v>
      </c>
      <c r="K212" s="1">
        <v>107784</v>
      </c>
    </row>
    <row r="213" spans="1:11" x14ac:dyDescent="0.2">
      <c r="A213" s="1" t="s">
        <v>486</v>
      </c>
      <c r="B213" s="1" t="s">
        <v>386</v>
      </c>
      <c r="C213" s="15">
        <v>42234</v>
      </c>
      <c r="D213" s="1" t="s">
        <v>23</v>
      </c>
      <c r="E213" s="1" t="s">
        <v>22</v>
      </c>
      <c r="F213" s="1" t="s">
        <v>690</v>
      </c>
      <c r="G213" s="1">
        <v>530.1</v>
      </c>
      <c r="H213" s="1">
        <v>0</v>
      </c>
      <c r="I213" s="1" t="s">
        <v>385</v>
      </c>
      <c r="J213" s="1">
        <v>16109</v>
      </c>
      <c r="K213" s="1">
        <v>110371</v>
      </c>
    </row>
    <row r="214" spans="1:11" x14ac:dyDescent="0.2">
      <c r="A214" s="1" t="s">
        <v>486</v>
      </c>
      <c r="B214" s="1" t="s">
        <v>348</v>
      </c>
      <c r="C214" s="15">
        <v>42234</v>
      </c>
      <c r="D214" s="1" t="s">
        <v>23</v>
      </c>
      <c r="E214" s="1" t="s">
        <v>22</v>
      </c>
      <c r="F214" s="1" t="s">
        <v>691</v>
      </c>
      <c r="G214" s="1">
        <v>215.89</v>
      </c>
      <c r="H214" s="1">
        <v>0</v>
      </c>
      <c r="I214" s="1" t="s">
        <v>347</v>
      </c>
      <c r="J214" s="1">
        <v>16073</v>
      </c>
      <c r="K214" s="1">
        <v>110333</v>
      </c>
    </row>
    <row r="215" spans="1:11" x14ac:dyDescent="0.2">
      <c r="A215" s="1" t="s">
        <v>486</v>
      </c>
      <c r="B215" s="1" t="s">
        <v>373</v>
      </c>
      <c r="C215" s="15">
        <v>42234</v>
      </c>
      <c r="D215" s="1" t="s">
        <v>23</v>
      </c>
      <c r="E215" s="1" t="s">
        <v>22</v>
      </c>
      <c r="F215" s="1" t="s">
        <v>692</v>
      </c>
      <c r="G215" s="1">
        <v>442.75</v>
      </c>
      <c r="H215" s="1">
        <v>0</v>
      </c>
      <c r="I215" s="1" t="s">
        <v>372</v>
      </c>
      <c r="J215" s="1">
        <v>16099</v>
      </c>
      <c r="K215" s="1">
        <v>110362</v>
      </c>
    </row>
    <row r="216" spans="1:11" x14ac:dyDescent="0.2">
      <c r="A216" s="1" t="s">
        <v>486</v>
      </c>
      <c r="B216" s="1" t="s">
        <v>207</v>
      </c>
      <c r="C216" s="15">
        <v>42220</v>
      </c>
      <c r="D216" s="1" t="s">
        <v>23</v>
      </c>
      <c r="E216" s="1" t="s">
        <v>22</v>
      </c>
      <c r="F216" s="1" t="s">
        <v>693</v>
      </c>
      <c r="G216" s="1">
        <v>1997.18</v>
      </c>
      <c r="H216" s="1">
        <v>0</v>
      </c>
      <c r="I216" s="1" t="s">
        <v>314</v>
      </c>
      <c r="J216" s="1">
        <v>16257</v>
      </c>
      <c r="K216" s="1">
        <v>107751</v>
      </c>
    </row>
    <row r="217" spans="1:11" x14ac:dyDescent="0.2">
      <c r="A217" s="1" t="s">
        <v>486</v>
      </c>
      <c r="B217" s="1" t="s">
        <v>207</v>
      </c>
      <c r="C217" s="15">
        <v>42220</v>
      </c>
      <c r="D217" s="1" t="s">
        <v>23</v>
      </c>
      <c r="E217" s="1" t="s">
        <v>24</v>
      </c>
      <c r="F217" s="1" t="s">
        <v>694</v>
      </c>
      <c r="G217" s="1">
        <v>1200</v>
      </c>
      <c r="H217" s="1">
        <v>141460</v>
      </c>
      <c r="I217" s="1" t="s">
        <v>184</v>
      </c>
      <c r="J217" s="1">
        <v>16257</v>
      </c>
      <c r="K217" s="1">
        <v>107750</v>
      </c>
    </row>
    <row r="218" spans="1:11" x14ac:dyDescent="0.2">
      <c r="A218" s="1" t="s">
        <v>486</v>
      </c>
      <c r="B218" s="1" t="s">
        <v>210</v>
      </c>
      <c r="C218" s="15">
        <v>42227</v>
      </c>
      <c r="D218" s="1" t="s">
        <v>23</v>
      </c>
      <c r="E218" s="1" t="s">
        <v>22</v>
      </c>
      <c r="F218" s="1" t="s">
        <v>695</v>
      </c>
      <c r="G218" s="1">
        <v>1600</v>
      </c>
      <c r="H218" s="1">
        <v>0</v>
      </c>
      <c r="I218" s="1" t="s">
        <v>316</v>
      </c>
      <c r="J218" s="1">
        <v>16256</v>
      </c>
      <c r="K218" s="1">
        <v>107769</v>
      </c>
    </row>
    <row r="219" spans="1:11" x14ac:dyDescent="0.2">
      <c r="A219" s="1" t="s">
        <v>486</v>
      </c>
      <c r="B219" s="1" t="s">
        <v>210</v>
      </c>
      <c r="C219" s="15">
        <v>42227</v>
      </c>
      <c r="D219" s="1" t="s">
        <v>23</v>
      </c>
      <c r="E219" s="1" t="s">
        <v>24</v>
      </c>
      <c r="F219" s="1" t="s">
        <v>696</v>
      </c>
      <c r="G219" s="1">
        <v>1200</v>
      </c>
      <c r="H219" s="1">
        <v>141711</v>
      </c>
      <c r="I219" s="1" t="s">
        <v>184</v>
      </c>
      <c r="J219" s="1">
        <v>16256</v>
      </c>
      <c r="K219" s="1">
        <v>107766</v>
      </c>
    </row>
    <row r="220" spans="1:11" x14ac:dyDescent="0.2">
      <c r="A220" s="1" t="s">
        <v>486</v>
      </c>
      <c r="B220" s="1" t="s">
        <v>392</v>
      </c>
      <c r="C220" s="15">
        <v>42234</v>
      </c>
      <c r="D220" s="1" t="s">
        <v>23</v>
      </c>
      <c r="E220" s="1" t="s">
        <v>22</v>
      </c>
      <c r="F220" s="1" t="s">
        <v>697</v>
      </c>
      <c r="G220" s="1">
        <v>1073.45</v>
      </c>
      <c r="H220" s="1">
        <v>0</v>
      </c>
      <c r="I220" s="1" t="s">
        <v>391</v>
      </c>
      <c r="J220" s="1">
        <v>16115</v>
      </c>
      <c r="K220" s="1">
        <v>110376</v>
      </c>
    </row>
    <row r="221" spans="1:11" x14ac:dyDescent="0.2">
      <c r="A221" s="1" t="s">
        <v>486</v>
      </c>
      <c r="B221" s="1" t="s">
        <v>405</v>
      </c>
      <c r="C221" s="15">
        <v>42234</v>
      </c>
      <c r="D221" s="1" t="s">
        <v>23</v>
      </c>
      <c r="E221" s="1" t="s">
        <v>22</v>
      </c>
      <c r="F221" s="1" t="s">
        <v>698</v>
      </c>
      <c r="G221" s="1">
        <v>768.22</v>
      </c>
      <c r="H221" s="1">
        <v>0</v>
      </c>
      <c r="I221" s="1" t="s">
        <v>404</v>
      </c>
      <c r="J221" s="1">
        <v>16126</v>
      </c>
      <c r="K221" s="1">
        <v>110389</v>
      </c>
    </row>
    <row r="222" spans="1:11" x14ac:dyDescent="0.2">
      <c r="A222" s="1" t="s">
        <v>486</v>
      </c>
      <c r="B222" s="1" t="s">
        <v>237</v>
      </c>
      <c r="C222" s="15">
        <v>42250</v>
      </c>
      <c r="D222" s="1" t="s">
        <v>23</v>
      </c>
      <c r="E222" s="1" t="s">
        <v>26</v>
      </c>
      <c r="F222" s="1" t="s">
        <v>699</v>
      </c>
      <c r="G222" s="1">
        <v>0</v>
      </c>
      <c r="H222" s="1">
        <v>145898</v>
      </c>
      <c r="J222" s="1">
        <v>16713</v>
      </c>
      <c r="K222" s="1">
        <v>110568</v>
      </c>
    </row>
    <row r="223" spans="1:11" x14ac:dyDescent="0.2">
      <c r="A223" s="1" t="s">
        <v>486</v>
      </c>
      <c r="B223" s="1" t="s">
        <v>237</v>
      </c>
      <c r="C223" s="15">
        <v>42250</v>
      </c>
      <c r="D223" s="1" t="s">
        <v>23</v>
      </c>
      <c r="E223" s="1" t="s">
        <v>24</v>
      </c>
      <c r="F223" s="1" t="s">
        <v>700</v>
      </c>
      <c r="G223" s="1">
        <v>900</v>
      </c>
      <c r="H223" s="1">
        <v>145898</v>
      </c>
      <c r="I223" s="1" t="s">
        <v>236</v>
      </c>
      <c r="J223" s="1">
        <v>16713</v>
      </c>
      <c r="K223" s="1">
        <v>110566</v>
      </c>
    </row>
    <row r="224" spans="1:11" x14ac:dyDescent="0.2">
      <c r="A224" s="1" t="s">
        <v>486</v>
      </c>
      <c r="B224" s="1" t="s">
        <v>237</v>
      </c>
      <c r="C224" s="15">
        <v>42250</v>
      </c>
      <c r="D224" s="1" t="s">
        <v>23</v>
      </c>
      <c r="E224" s="1" t="s">
        <v>22</v>
      </c>
      <c r="F224" s="1" t="s">
        <v>701</v>
      </c>
      <c r="G224" s="1">
        <v>207.23</v>
      </c>
      <c r="H224" s="1">
        <v>0</v>
      </c>
      <c r="I224" s="1" t="s">
        <v>30</v>
      </c>
      <c r="J224" s="1">
        <v>16713</v>
      </c>
      <c r="K224" s="1">
        <v>110569</v>
      </c>
    </row>
    <row r="225" spans="1:11" x14ac:dyDescent="0.2">
      <c r="A225" s="1" t="s">
        <v>486</v>
      </c>
      <c r="B225" s="1" t="s">
        <v>239</v>
      </c>
      <c r="C225" s="15">
        <v>42263</v>
      </c>
      <c r="D225" s="1" t="s">
        <v>23</v>
      </c>
      <c r="E225" s="1" t="s">
        <v>26</v>
      </c>
      <c r="F225" s="1" t="s">
        <v>704</v>
      </c>
      <c r="G225" s="1">
        <v>0</v>
      </c>
      <c r="H225" s="1">
        <v>145915</v>
      </c>
      <c r="J225" s="1">
        <v>16716</v>
      </c>
      <c r="K225" s="1">
        <v>110585</v>
      </c>
    </row>
    <row r="226" spans="1:11" x14ac:dyDescent="0.2">
      <c r="A226" s="1" t="s">
        <v>486</v>
      </c>
      <c r="B226" s="1" t="s">
        <v>239</v>
      </c>
      <c r="C226" s="15">
        <v>42263</v>
      </c>
      <c r="D226" s="1" t="s">
        <v>23</v>
      </c>
      <c r="E226" s="1" t="s">
        <v>24</v>
      </c>
      <c r="F226" s="1" t="s">
        <v>702</v>
      </c>
      <c r="G226" s="1">
        <v>900</v>
      </c>
      <c r="H226" s="1">
        <v>145915</v>
      </c>
      <c r="I226" s="1" t="s">
        <v>238</v>
      </c>
      <c r="J226" s="1">
        <v>16716</v>
      </c>
      <c r="K226" s="1">
        <v>110583</v>
      </c>
    </row>
    <row r="227" spans="1:11" x14ac:dyDescent="0.2">
      <c r="A227" s="1" t="s">
        <v>486</v>
      </c>
      <c r="B227" s="1" t="s">
        <v>239</v>
      </c>
      <c r="C227" s="15">
        <v>42263</v>
      </c>
      <c r="D227" s="1" t="s">
        <v>23</v>
      </c>
      <c r="E227" s="1" t="s">
        <v>22</v>
      </c>
      <c r="F227" s="1" t="s">
        <v>703</v>
      </c>
      <c r="G227" s="1">
        <v>439.17</v>
      </c>
      <c r="H227" s="1">
        <v>0</v>
      </c>
      <c r="I227" s="1" t="s">
        <v>417</v>
      </c>
      <c r="J227" s="1">
        <v>16716</v>
      </c>
      <c r="K227" s="1">
        <v>110586</v>
      </c>
    </row>
    <row r="228" spans="1:11" x14ac:dyDescent="0.2">
      <c r="A228" s="1" t="s">
        <v>486</v>
      </c>
      <c r="B228" s="1" t="s">
        <v>393</v>
      </c>
      <c r="C228" s="15">
        <v>42234</v>
      </c>
      <c r="D228" s="1" t="s">
        <v>23</v>
      </c>
      <c r="E228" s="1" t="s">
        <v>22</v>
      </c>
      <c r="F228" s="1" t="s">
        <v>705</v>
      </c>
      <c r="G228" s="1">
        <v>1744.9</v>
      </c>
      <c r="H228" s="1">
        <v>0</v>
      </c>
      <c r="I228" s="1" t="s">
        <v>296</v>
      </c>
      <c r="J228" s="1">
        <v>16116</v>
      </c>
      <c r="K228" s="1">
        <v>110377</v>
      </c>
    </row>
    <row r="229" spans="1:11" x14ac:dyDescent="0.2">
      <c r="A229" s="1" t="s">
        <v>486</v>
      </c>
      <c r="B229" s="1" t="s">
        <v>203</v>
      </c>
      <c r="C229" s="15">
        <v>42220</v>
      </c>
      <c r="D229" s="1" t="s">
        <v>23</v>
      </c>
      <c r="E229" s="1" t="s">
        <v>24</v>
      </c>
      <c r="F229" s="1" t="s">
        <v>706</v>
      </c>
      <c r="G229" s="1">
        <v>900</v>
      </c>
      <c r="H229" s="1">
        <v>141467</v>
      </c>
      <c r="I229" s="1" t="s">
        <v>184</v>
      </c>
      <c r="J229" s="1">
        <v>16250</v>
      </c>
      <c r="K229" s="1">
        <v>107727</v>
      </c>
    </row>
    <row r="230" spans="1:11" x14ac:dyDescent="0.2">
      <c r="A230" s="1" t="s">
        <v>486</v>
      </c>
      <c r="B230" s="1" t="s">
        <v>203</v>
      </c>
      <c r="C230" s="15">
        <v>42220</v>
      </c>
      <c r="D230" s="1" t="s">
        <v>23</v>
      </c>
      <c r="E230" s="1" t="s">
        <v>22</v>
      </c>
      <c r="F230" s="1" t="s">
        <v>707</v>
      </c>
      <c r="G230" s="1">
        <v>126.7</v>
      </c>
      <c r="H230" s="1">
        <v>0</v>
      </c>
      <c r="I230" s="1" t="s">
        <v>310</v>
      </c>
      <c r="J230" s="1">
        <v>16250</v>
      </c>
      <c r="K230" s="1">
        <v>107731</v>
      </c>
    </row>
    <row r="231" spans="1:11" x14ac:dyDescent="0.2">
      <c r="A231" s="1" t="s">
        <v>486</v>
      </c>
      <c r="B231" s="1" t="s">
        <v>203</v>
      </c>
      <c r="C231" s="15">
        <v>42220</v>
      </c>
      <c r="D231" s="1" t="s">
        <v>23</v>
      </c>
      <c r="E231" s="1" t="s">
        <v>26</v>
      </c>
      <c r="F231" s="1" t="s">
        <v>708</v>
      </c>
      <c r="G231" s="1">
        <v>10</v>
      </c>
      <c r="H231" s="1">
        <v>141467</v>
      </c>
      <c r="I231" s="1" t="s">
        <v>450</v>
      </c>
      <c r="J231" s="1">
        <v>16250</v>
      </c>
      <c r="K231" s="1">
        <v>107729</v>
      </c>
    </row>
    <row r="232" spans="1:11" x14ac:dyDescent="0.2">
      <c r="A232" s="1" t="s">
        <v>486</v>
      </c>
      <c r="B232" s="1" t="s">
        <v>216</v>
      </c>
      <c r="C232" s="15">
        <v>42228</v>
      </c>
      <c r="D232" s="1" t="s">
        <v>23</v>
      </c>
      <c r="E232" s="1" t="s">
        <v>22</v>
      </c>
      <c r="F232" s="1" t="s">
        <v>709</v>
      </c>
      <c r="G232" s="1">
        <v>1227.3499999999999</v>
      </c>
      <c r="H232" s="1">
        <v>0</v>
      </c>
      <c r="I232" s="1" t="s">
        <v>321</v>
      </c>
      <c r="J232" s="1">
        <v>16389</v>
      </c>
      <c r="K232" s="1">
        <v>108091</v>
      </c>
    </row>
    <row r="233" spans="1:11" x14ac:dyDescent="0.2">
      <c r="A233" s="1" t="s">
        <v>486</v>
      </c>
      <c r="B233" s="1" t="s">
        <v>216</v>
      </c>
      <c r="C233" s="15">
        <v>42228</v>
      </c>
      <c r="D233" s="1" t="s">
        <v>23</v>
      </c>
      <c r="E233" s="1" t="s">
        <v>24</v>
      </c>
      <c r="F233" s="1" t="s">
        <v>710</v>
      </c>
      <c r="G233" s="1">
        <v>1080</v>
      </c>
      <c r="H233" s="1">
        <v>142107</v>
      </c>
      <c r="I233" s="1" t="s">
        <v>213</v>
      </c>
      <c r="J233" s="1">
        <v>16389</v>
      </c>
      <c r="K233" s="1">
        <v>108088</v>
      </c>
    </row>
    <row r="234" spans="1:11" x14ac:dyDescent="0.2">
      <c r="A234" s="1" t="s">
        <v>486</v>
      </c>
      <c r="B234" s="1" t="s">
        <v>214</v>
      </c>
      <c r="C234" s="15">
        <v>42229</v>
      </c>
      <c r="D234" s="1" t="s">
        <v>23</v>
      </c>
      <c r="E234" s="1" t="s">
        <v>24</v>
      </c>
      <c r="F234" s="1" t="s">
        <v>711</v>
      </c>
      <c r="G234" s="1">
        <v>900</v>
      </c>
      <c r="H234" s="1">
        <v>141502</v>
      </c>
      <c r="I234" s="1" t="s">
        <v>213</v>
      </c>
      <c r="J234" s="1">
        <v>16249</v>
      </c>
      <c r="K234" s="1">
        <v>107779</v>
      </c>
    </row>
    <row r="235" spans="1:11" x14ac:dyDescent="0.2">
      <c r="A235" s="1" t="s">
        <v>486</v>
      </c>
      <c r="B235" s="1" t="s">
        <v>214</v>
      </c>
      <c r="C235" s="15">
        <v>42229</v>
      </c>
      <c r="D235" s="1" t="s">
        <v>23</v>
      </c>
      <c r="E235" s="1" t="s">
        <v>22</v>
      </c>
      <c r="F235" s="1" t="s">
        <v>712</v>
      </c>
      <c r="G235" s="1">
        <v>150.5</v>
      </c>
      <c r="H235" s="1">
        <v>0</v>
      </c>
      <c r="I235" s="1" t="s">
        <v>319</v>
      </c>
      <c r="J235" s="1">
        <v>16249</v>
      </c>
      <c r="K235" s="1">
        <v>107778</v>
      </c>
    </row>
    <row r="236" spans="1:11" x14ac:dyDescent="0.2">
      <c r="A236" s="1" t="s">
        <v>486</v>
      </c>
      <c r="B236" s="1" t="s">
        <v>214</v>
      </c>
      <c r="C236" s="15">
        <v>42229</v>
      </c>
      <c r="D236" s="1" t="s">
        <v>23</v>
      </c>
      <c r="E236" s="1" t="s">
        <v>26</v>
      </c>
      <c r="F236" s="1" t="s">
        <v>713</v>
      </c>
      <c r="G236" s="1">
        <v>12.08</v>
      </c>
      <c r="H236" s="1">
        <v>141502</v>
      </c>
      <c r="I236" s="1" t="s">
        <v>450</v>
      </c>
      <c r="J236" s="1">
        <v>16249</v>
      </c>
      <c r="K236" s="1">
        <v>107780</v>
      </c>
    </row>
    <row r="237" spans="1:11" x14ac:dyDescent="0.2">
      <c r="A237" s="1" t="s">
        <v>486</v>
      </c>
      <c r="B237" s="1" t="s">
        <v>233</v>
      </c>
      <c r="C237" s="15">
        <v>42233</v>
      </c>
      <c r="D237" s="1" t="s">
        <v>23</v>
      </c>
      <c r="E237" s="1" t="s">
        <v>24</v>
      </c>
      <c r="F237" s="1" t="s">
        <v>714</v>
      </c>
      <c r="G237" s="1">
        <v>810</v>
      </c>
      <c r="H237" s="1">
        <v>142132</v>
      </c>
      <c r="I237" s="1" t="s">
        <v>213</v>
      </c>
      <c r="J237" s="1">
        <v>16394</v>
      </c>
      <c r="K237" s="1">
        <v>110010</v>
      </c>
    </row>
    <row r="238" spans="1:11" x14ac:dyDescent="0.2">
      <c r="A238" s="1" t="s">
        <v>486</v>
      </c>
      <c r="B238" s="1" t="s">
        <v>233</v>
      </c>
      <c r="C238" s="15">
        <v>42233</v>
      </c>
      <c r="D238" s="1" t="s">
        <v>23</v>
      </c>
      <c r="E238" s="1" t="s">
        <v>22</v>
      </c>
      <c r="F238" s="1" t="s">
        <v>715</v>
      </c>
      <c r="G238" s="1">
        <v>93.57</v>
      </c>
      <c r="H238" s="1">
        <v>0</v>
      </c>
      <c r="I238" s="1" t="s">
        <v>330</v>
      </c>
      <c r="J238" s="1">
        <v>16394</v>
      </c>
      <c r="K238" s="1">
        <v>110090</v>
      </c>
    </row>
    <row r="239" spans="1:11" x14ac:dyDescent="0.2">
      <c r="A239" s="1" t="s">
        <v>486</v>
      </c>
      <c r="B239" s="1" t="s">
        <v>285</v>
      </c>
      <c r="C239" s="15">
        <v>42234</v>
      </c>
      <c r="D239" s="1" t="s">
        <v>23</v>
      </c>
      <c r="E239" s="1" t="s">
        <v>22</v>
      </c>
      <c r="F239" s="1" t="s">
        <v>716</v>
      </c>
      <c r="G239" s="1">
        <v>1043.67</v>
      </c>
      <c r="H239" s="1">
        <v>0</v>
      </c>
      <c r="I239" s="1" t="s">
        <v>369</v>
      </c>
      <c r="J239" s="1">
        <v>16097</v>
      </c>
      <c r="K239" s="1">
        <v>110360</v>
      </c>
    </row>
    <row r="240" spans="1:11" x14ac:dyDescent="0.2">
      <c r="A240" s="1" t="s">
        <v>486</v>
      </c>
      <c r="B240" s="1" t="s">
        <v>285</v>
      </c>
      <c r="C240" s="15">
        <v>42234</v>
      </c>
      <c r="D240" s="1" t="s">
        <v>23</v>
      </c>
      <c r="E240" s="1" t="s">
        <v>22</v>
      </c>
      <c r="F240" s="1" t="s">
        <v>716</v>
      </c>
      <c r="G240" s="1">
        <v>150</v>
      </c>
      <c r="H240" s="1">
        <v>0</v>
      </c>
      <c r="I240" s="1" t="s">
        <v>284</v>
      </c>
      <c r="J240" s="1">
        <v>16097</v>
      </c>
      <c r="K240" s="1">
        <v>112051</v>
      </c>
    </row>
    <row r="241" spans="1:11" x14ac:dyDescent="0.2">
      <c r="A241" s="1" t="s">
        <v>486</v>
      </c>
      <c r="B241" s="1" t="s">
        <v>258</v>
      </c>
      <c r="C241" s="15">
        <v>42247</v>
      </c>
      <c r="D241" s="1" t="s">
        <v>23</v>
      </c>
      <c r="E241" s="1" t="s">
        <v>24</v>
      </c>
      <c r="F241" s="1" t="s">
        <v>718</v>
      </c>
      <c r="G241" s="1">
        <v>810</v>
      </c>
      <c r="H241" s="1">
        <v>149064</v>
      </c>
      <c r="I241" s="1" t="s">
        <v>257</v>
      </c>
      <c r="J241" s="1">
        <v>16956</v>
      </c>
      <c r="K241" s="1">
        <v>112146</v>
      </c>
    </row>
    <row r="242" spans="1:11" x14ac:dyDescent="0.2">
      <c r="A242" s="1" t="s">
        <v>486</v>
      </c>
      <c r="B242" s="1" t="s">
        <v>258</v>
      </c>
      <c r="C242" s="15">
        <v>42247</v>
      </c>
      <c r="D242" s="1" t="s">
        <v>23</v>
      </c>
      <c r="E242" s="1" t="s">
        <v>22</v>
      </c>
      <c r="F242" s="1" t="s">
        <v>717</v>
      </c>
      <c r="G242" s="1">
        <v>94.73</v>
      </c>
      <c r="H242" s="1">
        <v>0</v>
      </c>
      <c r="I242" s="1" t="s">
        <v>427</v>
      </c>
      <c r="J242" s="1">
        <v>16956</v>
      </c>
      <c r="K242" s="1">
        <v>112148</v>
      </c>
    </row>
    <row r="243" spans="1:11" x14ac:dyDescent="0.2">
      <c r="A243" s="1" t="s">
        <v>486</v>
      </c>
      <c r="B243" s="1" t="s">
        <v>266</v>
      </c>
      <c r="C243" s="15">
        <v>42264</v>
      </c>
      <c r="D243" s="1" t="s">
        <v>23</v>
      </c>
      <c r="E243" s="1" t="s">
        <v>24</v>
      </c>
      <c r="F243" s="1" t="s">
        <v>721</v>
      </c>
      <c r="G243" s="1">
        <v>1080</v>
      </c>
      <c r="H243" s="1">
        <v>149269</v>
      </c>
      <c r="I243" s="1" t="s">
        <v>265</v>
      </c>
      <c r="J243" s="1">
        <v>16975</v>
      </c>
      <c r="K243" s="1">
        <v>112239</v>
      </c>
    </row>
    <row r="244" spans="1:11" x14ac:dyDescent="0.2">
      <c r="A244" s="1" t="s">
        <v>486</v>
      </c>
      <c r="B244" s="1" t="s">
        <v>266</v>
      </c>
      <c r="C244" s="15">
        <v>42264</v>
      </c>
      <c r="D244" s="1" t="s">
        <v>23</v>
      </c>
      <c r="E244" s="1" t="s">
        <v>22</v>
      </c>
      <c r="F244" s="1" t="s">
        <v>720</v>
      </c>
      <c r="G244" s="1">
        <v>589.30999999999995</v>
      </c>
      <c r="H244" s="1">
        <v>0</v>
      </c>
      <c r="I244" s="1" t="s">
        <v>431</v>
      </c>
      <c r="J244" s="1">
        <v>16975</v>
      </c>
      <c r="K244" s="1">
        <v>112242</v>
      </c>
    </row>
    <row r="245" spans="1:11" x14ac:dyDescent="0.2">
      <c r="A245" s="1" t="s">
        <v>486</v>
      </c>
      <c r="B245" s="1" t="s">
        <v>266</v>
      </c>
      <c r="C245" s="15">
        <v>42264</v>
      </c>
      <c r="D245" s="1" t="s">
        <v>23</v>
      </c>
      <c r="E245" s="1" t="s">
        <v>26</v>
      </c>
      <c r="F245" s="1" t="s">
        <v>719</v>
      </c>
      <c r="G245" s="1">
        <v>0</v>
      </c>
      <c r="H245" s="1">
        <v>149269</v>
      </c>
      <c r="J245" s="1">
        <v>16975</v>
      </c>
      <c r="K245" s="1">
        <v>112241</v>
      </c>
    </row>
    <row r="246" spans="1:11" x14ac:dyDescent="0.2">
      <c r="A246" s="1" t="s">
        <v>486</v>
      </c>
      <c r="B246" s="1" t="s">
        <v>272</v>
      </c>
      <c r="C246" s="15">
        <v>42270</v>
      </c>
      <c r="D246" s="1" t="s">
        <v>23</v>
      </c>
      <c r="E246" s="1" t="s">
        <v>24</v>
      </c>
      <c r="F246" s="1" t="s">
        <v>723</v>
      </c>
      <c r="G246" s="1">
        <v>810</v>
      </c>
      <c r="H246" s="1">
        <v>151368</v>
      </c>
      <c r="I246" s="1" t="s">
        <v>271</v>
      </c>
      <c r="J246" s="1">
        <v>17154</v>
      </c>
      <c r="K246" s="1">
        <v>113389</v>
      </c>
    </row>
    <row r="247" spans="1:11" x14ac:dyDescent="0.2">
      <c r="A247" s="1" t="s">
        <v>486</v>
      </c>
      <c r="B247" s="1" t="s">
        <v>272</v>
      </c>
      <c r="C247" s="15">
        <v>42270</v>
      </c>
      <c r="D247" s="1" t="s">
        <v>23</v>
      </c>
      <c r="E247" s="1" t="s">
        <v>22</v>
      </c>
      <c r="F247" s="1" t="s">
        <v>724</v>
      </c>
      <c r="G247" s="1">
        <v>191.73</v>
      </c>
      <c r="H247" s="1">
        <v>0</v>
      </c>
      <c r="I247" s="1" t="s">
        <v>436</v>
      </c>
      <c r="J247" s="1">
        <v>17154</v>
      </c>
      <c r="K247" s="1">
        <v>113392</v>
      </c>
    </row>
    <row r="248" spans="1:11" x14ac:dyDescent="0.2">
      <c r="A248" s="1" t="s">
        <v>486</v>
      </c>
      <c r="B248" s="1" t="s">
        <v>272</v>
      </c>
      <c r="C248" s="15">
        <v>42270</v>
      </c>
      <c r="D248" s="1" t="s">
        <v>23</v>
      </c>
      <c r="E248" s="1" t="s">
        <v>26</v>
      </c>
      <c r="F248" s="1" t="s">
        <v>722</v>
      </c>
      <c r="G248" s="1">
        <v>0</v>
      </c>
      <c r="H248" s="1">
        <v>151368</v>
      </c>
      <c r="J248" s="1">
        <v>17154</v>
      </c>
      <c r="K248" s="1">
        <v>113391</v>
      </c>
    </row>
    <row r="249" spans="1:11" x14ac:dyDescent="0.2">
      <c r="A249" s="1" t="s">
        <v>486</v>
      </c>
      <c r="B249" s="1" t="s">
        <v>336</v>
      </c>
      <c r="C249" s="15">
        <v>42234</v>
      </c>
      <c r="D249" s="1" t="s">
        <v>23</v>
      </c>
      <c r="E249" s="1" t="s">
        <v>22</v>
      </c>
      <c r="F249" s="1" t="s">
        <v>725</v>
      </c>
      <c r="G249" s="1">
        <v>1124.8800000000001</v>
      </c>
      <c r="H249" s="1">
        <v>0</v>
      </c>
      <c r="I249" s="1" t="s">
        <v>294</v>
      </c>
      <c r="J249" s="1">
        <v>16063</v>
      </c>
      <c r="K249" s="1">
        <v>110324</v>
      </c>
    </row>
    <row r="250" spans="1:11" x14ac:dyDescent="0.2">
      <c r="A250" s="1" t="s">
        <v>486</v>
      </c>
      <c r="B250" s="1" t="s">
        <v>394</v>
      </c>
      <c r="C250" s="15">
        <v>42234</v>
      </c>
      <c r="D250" s="1" t="s">
        <v>23</v>
      </c>
      <c r="E250" s="1" t="s">
        <v>22</v>
      </c>
      <c r="F250" s="1" t="s">
        <v>726</v>
      </c>
      <c r="G250" s="1">
        <v>499.98</v>
      </c>
      <c r="H250" s="1">
        <v>0</v>
      </c>
      <c r="I250" s="1" t="s">
        <v>298</v>
      </c>
      <c r="J250" s="1">
        <v>16117</v>
      </c>
      <c r="K250" s="1">
        <v>110378</v>
      </c>
    </row>
    <row r="251" spans="1:11" x14ac:dyDescent="0.2">
      <c r="A251" s="1" t="s">
        <v>486</v>
      </c>
      <c r="B251" s="1" t="s">
        <v>224</v>
      </c>
      <c r="C251" s="15">
        <v>42257</v>
      </c>
      <c r="D251" s="1" t="s">
        <v>23</v>
      </c>
      <c r="E251" s="1" t="s">
        <v>26</v>
      </c>
      <c r="F251" s="1" t="s">
        <v>727</v>
      </c>
      <c r="G251" s="1">
        <v>0</v>
      </c>
      <c r="H251" s="1">
        <v>144612</v>
      </c>
      <c r="J251" s="1">
        <v>16612</v>
      </c>
      <c r="K251" s="1">
        <v>109703</v>
      </c>
    </row>
    <row r="252" spans="1:11" x14ac:dyDescent="0.2">
      <c r="A252" s="1" t="s">
        <v>486</v>
      </c>
      <c r="B252" s="1" t="s">
        <v>224</v>
      </c>
      <c r="C252" s="15">
        <v>42257</v>
      </c>
      <c r="D252" s="1" t="s">
        <v>23</v>
      </c>
      <c r="E252" s="1" t="s">
        <v>24</v>
      </c>
      <c r="F252" s="1" t="s">
        <v>728</v>
      </c>
      <c r="G252" s="1">
        <v>1680</v>
      </c>
      <c r="H252" s="1">
        <v>144612</v>
      </c>
      <c r="I252" s="1" t="s">
        <v>223</v>
      </c>
      <c r="J252" s="1">
        <v>16612</v>
      </c>
      <c r="K252" s="1">
        <v>109701</v>
      </c>
    </row>
    <row r="253" spans="1:11" x14ac:dyDescent="0.2">
      <c r="A253" s="1" t="s">
        <v>486</v>
      </c>
      <c r="B253" s="1" t="s">
        <v>224</v>
      </c>
      <c r="C253" s="15">
        <v>42257</v>
      </c>
      <c r="D253" s="1" t="s">
        <v>23</v>
      </c>
      <c r="E253" s="1" t="s">
        <v>22</v>
      </c>
      <c r="F253" s="1" t="s">
        <v>729</v>
      </c>
      <c r="G253" s="1">
        <v>2384.2600000000002</v>
      </c>
      <c r="H253" s="1">
        <v>0</v>
      </c>
      <c r="I253" s="1" t="s">
        <v>37</v>
      </c>
      <c r="J253" s="1">
        <v>16612</v>
      </c>
      <c r="K253" s="1">
        <v>109704</v>
      </c>
    </row>
    <row r="254" spans="1:11" x14ac:dyDescent="0.2">
      <c r="A254" s="1" t="s">
        <v>486</v>
      </c>
      <c r="B254" s="1" t="s">
        <v>264</v>
      </c>
      <c r="C254" s="15">
        <v>42264</v>
      </c>
      <c r="D254" s="1" t="s">
        <v>23</v>
      </c>
      <c r="E254" s="1" t="s">
        <v>26</v>
      </c>
      <c r="F254" s="1" t="s">
        <v>732</v>
      </c>
      <c r="G254" s="1">
        <v>0</v>
      </c>
      <c r="H254" s="1">
        <v>149259</v>
      </c>
      <c r="J254" s="1">
        <v>16974</v>
      </c>
      <c r="K254" s="1">
        <v>112233</v>
      </c>
    </row>
    <row r="255" spans="1:11" x14ac:dyDescent="0.2">
      <c r="A255" s="1" t="s">
        <v>486</v>
      </c>
      <c r="B255" s="1" t="s">
        <v>264</v>
      </c>
      <c r="C255" s="15">
        <v>42264</v>
      </c>
      <c r="D255" s="1" t="s">
        <v>23</v>
      </c>
      <c r="E255" s="1" t="s">
        <v>24</v>
      </c>
      <c r="F255" s="1" t="s">
        <v>730</v>
      </c>
      <c r="G255" s="1">
        <v>1680</v>
      </c>
      <c r="H255" s="1">
        <v>149259</v>
      </c>
      <c r="I255" s="1" t="s">
        <v>263</v>
      </c>
      <c r="J255" s="1">
        <v>16974</v>
      </c>
      <c r="K255" s="1">
        <v>112231</v>
      </c>
    </row>
    <row r="256" spans="1:11" x14ac:dyDescent="0.2">
      <c r="A256" s="1" t="s">
        <v>486</v>
      </c>
      <c r="B256" s="1" t="s">
        <v>264</v>
      </c>
      <c r="C256" s="15">
        <v>42264</v>
      </c>
      <c r="D256" s="1" t="s">
        <v>23</v>
      </c>
      <c r="E256" s="1" t="s">
        <v>22</v>
      </c>
      <c r="F256" s="1" t="s">
        <v>731</v>
      </c>
      <c r="G256" s="1">
        <v>4499.76</v>
      </c>
      <c r="H256" s="1">
        <v>0</v>
      </c>
      <c r="I256" s="1" t="s">
        <v>430</v>
      </c>
      <c r="J256" s="1">
        <v>16974</v>
      </c>
      <c r="K256" s="1">
        <v>112234</v>
      </c>
    </row>
    <row r="257" spans="1:11" x14ac:dyDescent="0.2">
      <c r="A257" s="1" t="s">
        <v>486</v>
      </c>
      <c r="B257" s="1" t="s">
        <v>368</v>
      </c>
      <c r="C257" s="15">
        <v>42234</v>
      </c>
      <c r="D257" s="1" t="s">
        <v>23</v>
      </c>
      <c r="E257" s="1" t="s">
        <v>22</v>
      </c>
      <c r="F257" s="1" t="s">
        <v>733</v>
      </c>
      <c r="G257" s="1">
        <v>991.58</v>
      </c>
      <c r="H257" s="1">
        <v>0</v>
      </c>
      <c r="I257" s="1" t="s">
        <v>367</v>
      </c>
      <c r="J257" s="1">
        <v>16096</v>
      </c>
      <c r="K257" s="1">
        <v>110359</v>
      </c>
    </row>
    <row r="258" spans="1:11" x14ac:dyDescent="0.2">
      <c r="A258" s="1" t="s">
        <v>486</v>
      </c>
      <c r="B258" s="1" t="s">
        <v>250</v>
      </c>
      <c r="C258" s="15">
        <v>42271</v>
      </c>
      <c r="D258" s="1" t="s">
        <v>23</v>
      </c>
      <c r="E258" s="1" t="s">
        <v>26</v>
      </c>
      <c r="F258" s="1" t="s">
        <v>736</v>
      </c>
      <c r="G258" s="1">
        <v>0</v>
      </c>
      <c r="H258" s="1">
        <v>147589</v>
      </c>
      <c r="J258" s="1">
        <v>16822</v>
      </c>
      <c r="K258" s="1">
        <v>111226</v>
      </c>
    </row>
    <row r="259" spans="1:11" x14ac:dyDescent="0.2">
      <c r="A259" s="1" t="s">
        <v>486</v>
      </c>
      <c r="B259" s="1" t="s">
        <v>250</v>
      </c>
      <c r="C259" s="15">
        <v>42271</v>
      </c>
      <c r="D259" s="1" t="s">
        <v>23</v>
      </c>
      <c r="E259" s="1" t="s">
        <v>24</v>
      </c>
      <c r="F259" s="1" t="s">
        <v>734</v>
      </c>
      <c r="G259" s="1">
        <v>1080</v>
      </c>
      <c r="H259" s="1">
        <v>147589</v>
      </c>
      <c r="I259" s="1" t="s">
        <v>249</v>
      </c>
      <c r="J259" s="1">
        <v>16822</v>
      </c>
      <c r="K259" s="1">
        <v>111224</v>
      </c>
    </row>
    <row r="260" spans="1:11" x14ac:dyDescent="0.2">
      <c r="A260" s="1" t="s">
        <v>486</v>
      </c>
      <c r="B260" s="1" t="s">
        <v>250</v>
      </c>
      <c r="C260" s="15">
        <v>42271</v>
      </c>
      <c r="D260" s="1" t="s">
        <v>23</v>
      </c>
      <c r="E260" s="1" t="s">
        <v>22</v>
      </c>
      <c r="F260" s="1" t="s">
        <v>735</v>
      </c>
      <c r="G260" s="1">
        <v>1119.8699999999999</v>
      </c>
      <c r="H260" s="1">
        <v>0</v>
      </c>
      <c r="I260" s="1" t="s">
        <v>294</v>
      </c>
      <c r="J260" s="1">
        <v>16822</v>
      </c>
      <c r="K260" s="1">
        <v>111227</v>
      </c>
    </row>
    <row r="261" spans="1:11" x14ac:dyDescent="0.2">
      <c r="A261" s="1" t="s">
        <v>486</v>
      </c>
      <c r="B261" s="1" t="s">
        <v>403</v>
      </c>
      <c r="C261" s="15">
        <v>42234</v>
      </c>
      <c r="D261" s="1" t="s">
        <v>23</v>
      </c>
      <c r="E261" s="1" t="s">
        <v>22</v>
      </c>
      <c r="F261" s="1" t="s">
        <v>737</v>
      </c>
      <c r="G261" s="1">
        <v>499.99</v>
      </c>
      <c r="H261" s="1">
        <v>0</v>
      </c>
      <c r="I261" s="1" t="s">
        <v>296</v>
      </c>
      <c r="J261" s="1">
        <v>16125</v>
      </c>
      <c r="K261" s="1">
        <v>110388</v>
      </c>
    </row>
    <row r="262" spans="1:11" x14ac:dyDescent="0.2">
      <c r="A262" s="1" t="s">
        <v>486</v>
      </c>
      <c r="B262" s="1" t="s">
        <v>222</v>
      </c>
      <c r="C262" s="15">
        <v>42257</v>
      </c>
      <c r="D262" s="1" t="s">
        <v>23</v>
      </c>
      <c r="E262" s="1" t="s">
        <v>22</v>
      </c>
      <c r="F262" s="1" t="s">
        <v>738</v>
      </c>
      <c r="G262" s="1">
        <v>0</v>
      </c>
      <c r="H262" s="1">
        <v>0</v>
      </c>
      <c r="I262" s="1" t="s">
        <v>322</v>
      </c>
      <c r="J262" s="1">
        <v>16614</v>
      </c>
      <c r="K262" s="1">
        <v>109718</v>
      </c>
    </row>
    <row r="263" spans="1:11" x14ac:dyDescent="0.2">
      <c r="A263" s="1" t="s">
        <v>486</v>
      </c>
      <c r="B263" s="1" t="s">
        <v>222</v>
      </c>
      <c r="C263" s="15">
        <v>42257</v>
      </c>
      <c r="D263" s="1" t="s">
        <v>23</v>
      </c>
      <c r="E263" s="1" t="s">
        <v>24</v>
      </c>
      <c r="F263" s="1" t="s">
        <v>739</v>
      </c>
      <c r="G263" s="1">
        <v>1440</v>
      </c>
      <c r="H263" s="1">
        <v>144636</v>
      </c>
      <c r="I263" s="1" t="s">
        <v>221</v>
      </c>
      <c r="J263" s="1">
        <v>16614</v>
      </c>
      <c r="K263" s="1">
        <v>109715</v>
      </c>
    </row>
    <row r="264" spans="1:11" x14ac:dyDescent="0.2">
      <c r="A264" s="1" t="s">
        <v>486</v>
      </c>
      <c r="B264" s="1" t="s">
        <v>222</v>
      </c>
      <c r="C264" s="15">
        <v>42257</v>
      </c>
      <c r="D264" s="1" t="s">
        <v>23</v>
      </c>
      <c r="E264" s="1" t="s">
        <v>26</v>
      </c>
      <c r="F264" s="1" t="s">
        <v>740</v>
      </c>
      <c r="G264" s="1">
        <v>0</v>
      </c>
      <c r="H264" s="1">
        <v>144636</v>
      </c>
      <c r="J264" s="1">
        <v>16614</v>
      </c>
      <c r="K264" s="1">
        <v>109717</v>
      </c>
    </row>
    <row r="265" spans="1:11" x14ac:dyDescent="0.2">
      <c r="A265" s="1" t="s">
        <v>486</v>
      </c>
      <c r="B265" s="1" t="s">
        <v>222</v>
      </c>
      <c r="C265" s="15">
        <v>42257</v>
      </c>
      <c r="D265" s="1" t="s">
        <v>23</v>
      </c>
      <c r="E265" s="1" t="s">
        <v>22</v>
      </c>
      <c r="F265" s="1" t="s">
        <v>738</v>
      </c>
      <c r="G265" s="1">
        <v>0</v>
      </c>
      <c r="H265" s="1">
        <v>0</v>
      </c>
      <c r="I265" s="1" t="s">
        <v>441</v>
      </c>
      <c r="J265" s="1">
        <v>16614</v>
      </c>
      <c r="K265" s="1">
        <v>114727</v>
      </c>
    </row>
    <row r="266" spans="1:11" x14ac:dyDescent="0.2">
      <c r="A266" s="1" t="s">
        <v>486</v>
      </c>
      <c r="B266" s="1" t="s">
        <v>324</v>
      </c>
      <c r="C266" s="15">
        <v>42234</v>
      </c>
      <c r="D266" s="1" t="s">
        <v>23</v>
      </c>
      <c r="E266" s="1" t="s">
        <v>22</v>
      </c>
      <c r="F266" s="1" t="s">
        <v>741</v>
      </c>
      <c r="G266" s="1">
        <v>1978.9</v>
      </c>
      <c r="H266" s="1">
        <v>0</v>
      </c>
      <c r="I266" s="1" t="s">
        <v>323</v>
      </c>
      <c r="J266" s="1">
        <v>16061</v>
      </c>
      <c r="K266" s="1">
        <v>110322</v>
      </c>
    </row>
    <row r="267" spans="1:11" x14ac:dyDescent="0.2">
      <c r="A267" s="1" t="s">
        <v>486</v>
      </c>
      <c r="B267" s="1" t="s">
        <v>324</v>
      </c>
      <c r="C267" s="15">
        <v>42234</v>
      </c>
      <c r="D267" s="1" t="s">
        <v>23</v>
      </c>
      <c r="E267" s="1" t="s">
        <v>22</v>
      </c>
      <c r="F267" s="1" t="s">
        <v>741</v>
      </c>
      <c r="G267" s="1">
        <v>124.17</v>
      </c>
      <c r="H267" s="1">
        <v>0</v>
      </c>
      <c r="I267" s="1" t="s">
        <v>434</v>
      </c>
      <c r="J267" s="1">
        <v>16061</v>
      </c>
      <c r="K267" s="1">
        <v>113162</v>
      </c>
    </row>
    <row r="268" spans="1:11" x14ac:dyDescent="0.2">
      <c r="A268" s="1" t="s">
        <v>486</v>
      </c>
      <c r="B268" s="1" t="s">
        <v>235</v>
      </c>
      <c r="C268" s="15">
        <v>42248</v>
      </c>
      <c r="D268" s="1" t="s">
        <v>23</v>
      </c>
      <c r="E268" s="1" t="s">
        <v>22</v>
      </c>
      <c r="F268" s="1" t="s">
        <v>742</v>
      </c>
      <c r="G268" s="1">
        <v>751.51</v>
      </c>
      <c r="H268" s="1">
        <v>0</v>
      </c>
      <c r="I268" s="1" t="s">
        <v>416</v>
      </c>
      <c r="J268" s="1">
        <v>16709</v>
      </c>
      <c r="K268" s="1">
        <v>110548</v>
      </c>
    </row>
    <row r="269" spans="1:11" x14ac:dyDescent="0.2">
      <c r="A269" s="1" t="s">
        <v>486</v>
      </c>
      <c r="B269" s="1" t="s">
        <v>235</v>
      </c>
      <c r="C269" s="15">
        <v>42248</v>
      </c>
      <c r="D269" s="1" t="s">
        <v>23</v>
      </c>
      <c r="E269" s="1" t="s">
        <v>24</v>
      </c>
      <c r="F269" s="1" t="s">
        <v>743</v>
      </c>
      <c r="G269" s="1">
        <v>1080</v>
      </c>
      <c r="H269" s="1">
        <v>145883</v>
      </c>
      <c r="I269" s="1" t="s">
        <v>234</v>
      </c>
      <c r="J269" s="1">
        <v>16709</v>
      </c>
      <c r="K269" s="1">
        <v>110545</v>
      </c>
    </row>
    <row r="270" spans="1:11" x14ac:dyDescent="0.2">
      <c r="A270" s="1" t="s">
        <v>486</v>
      </c>
      <c r="B270" s="1" t="s">
        <v>260</v>
      </c>
      <c r="C270" s="15">
        <v>42269</v>
      </c>
      <c r="D270" s="1" t="s">
        <v>23</v>
      </c>
      <c r="E270" s="1" t="s">
        <v>24</v>
      </c>
      <c r="F270" s="1" t="s">
        <v>745</v>
      </c>
      <c r="G270" s="1">
        <v>1080</v>
      </c>
      <c r="H270" s="1">
        <v>149231</v>
      </c>
      <c r="I270" s="1" t="s">
        <v>259</v>
      </c>
      <c r="J270" s="1">
        <v>16965</v>
      </c>
      <c r="K270" s="1">
        <v>112185</v>
      </c>
    </row>
    <row r="271" spans="1:11" x14ac:dyDescent="0.2">
      <c r="A271" s="1" t="s">
        <v>486</v>
      </c>
      <c r="B271" s="1" t="s">
        <v>260</v>
      </c>
      <c r="C271" s="15">
        <v>42269</v>
      </c>
      <c r="D271" s="1" t="s">
        <v>23</v>
      </c>
      <c r="E271" s="1" t="s">
        <v>22</v>
      </c>
      <c r="F271" s="1" t="s">
        <v>746</v>
      </c>
      <c r="G271" s="1">
        <v>0</v>
      </c>
      <c r="H271" s="1">
        <v>0</v>
      </c>
      <c r="I271" s="1" t="s">
        <v>428</v>
      </c>
      <c r="J271" s="1">
        <v>16965</v>
      </c>
      <c r="K271" s="1">
        <v>112188</v>
      </c>
    </row>
    <row r="272" spans="1:11" x14ac:dyDescent="0.2">
      <c r="A272" s="1" t="s">
        <v>486</v>
      </c>
      <c r="B272" s="1" t="s">
        <v>260</v>
      </c>
      <c r="C272" s="15">
        <v>42269</v>
      </c>
      <c r="D272" s="1" t="s">
        <v>23</v>
      </c>
      <c r="E272" s="1" t="s">
        <v>26</v>
      </c>
      <c r="F272" s="1" t="s">
        <v>744</v>
      </c>
      <c r="G272" s="1">
        <v>0</v>
      </c>
      <c r="H272" s="1">
        <v>149231</v>
      </c>
      <c r="J272" s="1">
        <v>16965</v>
      </c>
      <c r="K272" s="1">
        <v>112187</v>
      </c>
    </row>
    <row r="273" spans="1:11" x14ac:dyDescent="0.2">
      <c r="A273" s="1" t="s">
        <v>486</v>
      </c>
      <c r="B273" s="1" t="s">
        <v>196</v>
      </c>
      <c r="C273" s="15">
        <v>42220</v>
      </c>
      <c r="D273" s="1" t="s">
        <v>23</v>
      </c>
      <c r="E273" s="1" t="s">
        <v>24</v>
      </c>
      <c r="F273" s="1" t="s">
        <v>747</v>
      </c>
      <c r="G273" s="1">
        <v>1200</v>
      </c>
      <c r="H273" s="1">
        <v>141471</v>
      </c>
      <c r="I273" s="1" t="s">
        <v>195</v>
      </c>
      <c r="J273" s="1">
        <v>16215</v>
      </c>
      <c r="K273" s="1">
        <v>106931</v>
      </c>
    </row>
    <row r="274" spans="1:11" x14ac:dyDescent="0.2">
      <c r="A274" s="1" t="s">
        <v>486</v>
      </c>
      <c r="B274" s="1" t="s">
        <v>196</v>
      </c>
      <c r="C274" s="15">
        <v>42220</v>
      </c>
      <c r="D274" s="1" t="s">
        <v>23</v>
      </c>
      <c r="E274" s="1" t="s">
        <v>22</v>
      </c>
      <c r="F274" s="1" t="s">
        <v>748</v>
      </c>
      <c r="G274" s="1">
        <v>1624.9</v>
      </c>
      <c r="H274" s="1">
        <v>0</v>
      </c>
      <c r="I274" s="1" t="s">
        <v>288</v>
      </c>
      <c r="J274" s="1">
        <v>16215</v>
      </c>
      <c r="K274" s="1">
        <v>106934</v>
      </c>
    </row>
    <row r="275" spans="1:11" x14ac:dyDescent="0.2">
      <c r="A275" s="1" t="s">
        <v>486</v>
      </c>
      <c r="B275" s="1" t="s">
        <v>196</v>
      </c>
      <c r="C275" s="15">
        <v>42220</v>
      </c>
      <c r="D275" s="1" t="s">
        <v>23</v>
      </c>
      <c r="E275" s="1" t="s">
        <v>26</v>
      </c>
      <c r="F275" s="1" t="s">
        <v>749</v>
      </c>
      <c r="G275" s="1">
        <v>10</v>
      </c>
      <c r="H275" s="1">
        <v>141471</v>
      </c>
      <c r="I275" s="1" t="s">
        <v>447</v>
      </c>
      <c r="J275" s="1">
        <v>16215</v>
      </c>
      <c r="K275" s="1">
        <v>106933</v>
      </c>
    </row>
    <row r="276" spans="1:11" x14ac:dyDescent="0.2">
      <c r="A276" s="1" t="s">
        <v>486</v>
      </c>
      <c r="B276" s="1" t="s">
        <v>377</v>
      </c>
      <c r="C276" s="15">
        <v>42234</v>
      </c>
      <c r="D276" s="1" t="s">
        <v>23</v>
      </c>
      <c r="E276" s="1" t="s">
        <v>22</v>
      </c>
      <c r="F276" s="1" t="s">
        <v>750</v>
      </c>
      <c r="G276" s="1">
        <v>624.96</v>
      </c>
      <c r="H276" s="1">
        <v>0</v>
      </c>
      <c r="I276" s="1" t="s">
        <v>354</v>
      </c>
      <c r="J276" s="1">
        <v>16103</v>
      </c>
      <c r="K276" s="1">
        <v>110365</v>
      </c>
    </row>
    <row r="277" spans="1:11" x14ac:dyDescent="0.2">
      <c r="A277" s="1" t="s">
        <v>486</v>
      </c>
      <c r="B277" s="1" t="s">
        <v>300</v>
      </c>
      <c r="C277" s="15">
        <v>42234</v>
      </c>
      <c r="D277" s="1" t="s">
        <v>23</v>
      </c>
      <c r="E277" s="1" t="s">
        <v>22</v>
      </c>
      <c r="F277" s="1" t="s">
        <v>751</v>
      </c>
      <c r="G277" s="1">
        <v>1124.93</v>
      </c>
      <c r="H277" s="1">
        <v>0</v>
      </c>
      <c r="I277" s="1" t="s">
        <v>296</v>
      </c>
      <c r="J277" s="1">
        <v>16078</v>
      </c>
      <c r="K277" s="1">
        <v>110343</v>
      </c>
    </row>
    <row r="278" spans="1:11" x14ac:dyDescent="0.2">
      <c r="A278" s="1" t="s">
        <v>486</v>
      </c>
      <c r="B278" s="1" t="s">
        <v>269</v>
      </c>
      <c r="C278" s="15">
        <v>42271</v>
      </c>
      <c r="D278" s="1" t="s">
        <v>23</v>
      </c>
      <c r="E278" s="1" t="s">
        <v>26</v>
      </c>
      <c r="F278" s="1" t="s">
        <v>753</v>
      </c>
      <c r="G278" s="1">
        <v>40.25</v>
      </c>
      <c r="H278" s="1">
        <v>150223</v>
      </c>
      <c r="I278" s="1" t="s">
        <v>477</v>
      </c>
      <c r="J278" s="1">
        <v>17058</v>
      </c>
      <c r="K278" s="1">
        <v>112822</v>
      </c>
    </row>
    <row r="279" spans="1:11" x14ac:dyDescent="0.2">
      <c r="A279" s="1" t="s">
        <v>486</v>
      </c>
      <c r="B279" s="1" t="s">
        <v>269</v>
      </c>
      <c r="C279" s="15">
        <v>42271</v>
      </c>
      <c r="D279" s="1" t="s">
        <v>23</v>
      </c>
      <c r="E279" s="1" t="s">
        <v>22</v>
      </c>
      <c r="F279" s="1" t="s">
        <v>754</v>
      </c>
      <c r="G279" s="1">
        <v>1002.33</v>
      </c>
      <c r="H279" s="1">
        <v>0</v>
      </c>
      <c r="I279" s="1" t="s">
        <v>433</v>
      </c>
      <c r="J279" s="1">
        <v>17058</v>
      </c>
      <c r="K279" s="1">
        <v>112823</v>
      </c>
    </row>
    <row r="280" spans="1:11" x14ac:dyDescent="0.2">
      <c r="A280" s="1" t="s">
        <v>486</v>
      </c>
      <c r="B280" s="1" t="s">
        <v>269</v>
      </c>
      <c r="C280" s="15">
        <v>42271</v>
      </c>
      <c r="D280" s="1" t="s">
        <v>23</v>
      </c>
      <c r="E280" s="1" t="s">
        <v>24</v>
      </c>
      <c r="F280" s="1" t="s">
        <v>752</v>
      </c>
      <c r="G280" s="1">
        <v>1200</v>
      </c>
      <c r="H280" s="1">
        <v>150223</v>
      </c>
      <c r="I280" s="1" t="s">
        <v>268</v>
      </c>
      <c r="J280" s="1">
        <v>17058</v>
      </c>
      <c r="K280" s="1">
        <v>112820</v>
      </c>
    </row>
    <row r="281" spans="1:11" x14ac:dyDescent="0.2">
      <c r="A281" s="1" t="s">
        <v>486</v>
      </c>
      <c r="B281" s="1" t="s">
        <v>360</v>
      </c>
      <c r="C281" s="15">
        <v>42234</v>
      </c>
      <c r="D281" s="1" t="s">
        <v>23</v>
      </c>
      <c r="E281" s="1" t="s">
        <v>22</v>
      </c>
      <c r="F281" s="1" t="s">
        <v>755</v>
      </c>
      <c r="G281" s="1">
        <v>750.07</v>
      </c>
      <c r="H281" s="1">
        <v>0</v>
      </c>
      <c r="I281" s="1" t="s">
        <v>296</v>
      </c>
      <c r="J281" s="1">
        <v>16088</v>
      </c>
      <c r="K281" s="1">
        <v>110353</v>
      </c>
    </row>
    <row r="282" spans="1:11" x14ac:dyDescent="0.2">
      <c r="A282" s="1" t="s">
        <v>486</v>
      </c>
      <c r="B282" s="1" t="s">
        <v>200</v>
      </c>
      <c r="C282" s="15">
        <v>42219</v>
      </c>
      <c r="D282" s="1" t="s">
        <v>23</v>
      </c>
      <c r="E282" s="1" t="s">
        <v>22</v>
      </c>
      <c r="F282" s="1" t="s">
        <v>756</v>
      </c>
      <c r="G282" s="1">
        <v>1257.44</v>
      </c>
      <c r="H282" s="1">
        <v>0</v>
      </c>
      <c r="I282" s="1" t="s">
        <v>306</v>
      </c>
      <c r="J282" s="1">
        <v>16251</v>
      </c>
      <c r="K282" s="1">
        <v>107707</v>
      </c>
    </row>
    <row r="283" spans="1:11" x14ac:dyDescent="0.2">
      <c r="A283" s="1" t="s">
        <v>486</v>
      </c>
      <c r="B283" s="1" t="s">
        <v>200</v>
      </c>
      <c r="C283" s="15">
        <v>42219</v>
      </c>
      <c r="D283" s="1" t="s">
        <v>23</v>
      </c>
      <c r="E283" s="1" t="s">
        <v>24</v>
      </c>
      <c r="F283" s="1" t="s">
        <v>757</v>
      </c>
      <c r="G283" s="1">
        <v>1080</v>
      </c>
      <c r="H283" s="1">
        <v>141438</v>
      </c>
      <c r="I283" s="1" t="s">
        <v>199</v>
      </c>
      <c r="J283" s="1">
        <v>16251</v>
      </c>
      <c r="K283" s="1">
        <v>107704</v>
      </c>
    </row>
    <row r="284" spans="1:11" x14ac:dyDescent="0.2">
      <c r="A284" s="1" t="s">
        <v>486</v>
      </c>
      <c r="B284" s="1" t="s">
        <v>357</v>
      </c>
      <c r="C284" s="15">
        <v>42234</v>
      </c>
      <c r="D284" s="1" t="s">
        <v>23</v>
      </c>
      <c r="E284" s="1" t="s">
        <v>22</v>
      </c>
      <c r="F284" s="1" t="s">
        <v>758</v>
      </c>
      <c r="G284" s="1">
        <v>564.15</v>
      </c>
      <c r="H284" s="1">
        <v>0</v>
      </c>
      <c r="I284" s="1" t="s">
        <v>354</v>
      </c>
      <c r="J284" s="1">
        <v>16086</v>
      </c>
      <c r="K284" s="1">
        <v>110351</v>
      </c>
    </row>
    <row r="285" spans="1:11" x14ac:dyDescent="0.2">
      <c r="A285" s="1" t="s">
        <v>759</v>
      </c>
      <c r="B285" s="1" t="s">
        <v>192</v>
      </c>
      <c r="C285" s="15">
        <v>42276</v>
      </c>
      <c r="D285" s="1" t="s">
        <v>23</v>
      </c>
      <c r="E285" s="1" t="s">
        <v>24</v>
      </c>
      <c r="F285" s="1" t="s">
        <v>760</v>
      </c>
      <c r="G285" s="1">
        <v>1000</v>
      </c>
      <c r="H285" s="1">
        <v>140147</v>
      </c>
      <c r="I285" s="1" t="s">
        <v>191</v>
      </c>
      <c r="J285" s="1">
        <v>16207</v>
      </c>
      <c r="K285" s="1">
        <v>106901</v>
      </c>
    </row>
    <row r="286" spans="1:11" x14ac:dyDescent="0.2">
      <c r="A286" s="1" t="s">
        <v>486</v>
      </c>
      <c r="B286" s="1" t="s">
        <v>443</v>
      </c>
      <c r="C286" s="15">
        <v>42256</v>
      </c>
      <c r="D286" s="1" t="s">
        <v>23</v>
      </c>
      <c r="E286" s="1" t="s">
        <v>24</v>
      </c>
      <c r="F286" s="1" t="s">
        <v>765</v>
      </c>
      <c r="G286" s="1">
        <v>0</v>
      </c>
      <c r="H286" s="1">
        <v>0</v>
      </c>
      <c r="J286" s="1">
        <v>17499</v>
      </c>
      <c r="K286" s="1">
        <v>116346</v>
      </c>
    </row>
    <row r="287" spans="1:11" x14ac:dyDescent="0.2">
      <c r="A287" s="1" t="s">
        <v>486</v>
      </c>
      <c r="B287" s="1" t="s">
        <v>443</v>
      </c>
      <c r="C287" s="15">
        <v>42256</v>
      </c>
      <c r="D287" s="1" t="s">
        <v>23</v>
      </c>
      <c r="E287" s="1" t="s">
        <v>22</v>
      </c>
      <c r="F287" s="1" t="s">
        <v>766</v>
      </c>
      <c r="G287" s="1">
        <v>0</v>
      </c>
      <c r="H287" s="1">
        <v>0</v>
      </c>
      <c r="I287" s="1" t="s">
        <v>442</v>
      </c>
      <c r="J287" s="1">
        <v>17499</v>
      </c>
      <c r="K287" s="1">
        <v>116349</v>
      </c>
    </row>
    <row r="288" spans="1:11" x14ac:dyDescent="0.2">
      <c r="A288" s="1" t="s">
        <v>486</v>
      </c>
      <c r="B288" s="1" t="s">
        <v>443</v>
      </c>
      <c r="C288" s="15">
        <v>42256</v>
      </c>
      <c r="D288" s="1" t="s">
        <v>23</v>
      </c>
      <c r="E288" s="1" t="s">
        <v>27</v>
      </c>
      <c r="F288" s="1" t="s">
        <v>763</v>
      </c>
      <c r="G288" s="1">
        <v>0</v>
      </c>
      <c r="H288" s="1">
        <v>0</v>
      </c>
      <c r="I288" s="1" t="s">
        <v>541</v>
      </c>
      <c r="J288" s="1">
        <v>17499</v>
      </c>
      <c r="K288" s="1">
        <v>116352</v>
      </c>
    </row>
    <row r="289" spans="1:11" x14ac:dyDescent="0.2">
      <c r="A289" s="1" t="s">
        <v>486</v>
      </c>
      <c r="B289" s="1" t="s">
        <v>443</v>
      </c>
      <c r="C289" s="15">
        <v>42256</v>
      </c>
      <c r="D289" s="1" t="s">
        <v>23</v>
      </c>
      <c r="E289" s="1" t="s">
        <v>26</v>
      </c>
      <c r="F289" s="1" t="s">
        <v>761</v>
      </c>
      <c r="G289" s="1">
        <v>0</v>
      </c>
      <c r="H289" s="1">
        <v>0</v>
      </c>
      <c r="J289" s="1">
        <v>17499</v>
      </c>
      <c r="K289" s="1">
        <v>116348</v>
      </c>
    </row>
    <row r="290" spans="1:11" x14ac:dyDescent="0.2">
      <c r="A290" s="1" t="s">
        <v>486</v>
      </c>
      <c r="B290" s="1" t="s">
        <v>443</v>
      </c>
      <c r="C290" s="15">
        <v>42256</v>
      </c>
      <c r="D290" s="1" t="s">
        <v>23</v>
      </c>
      <c r="E290" s="1" t="s">
        <v>25</v>
      </c>
      <c r="F290" s="1" t="s">
        <v>762</v>
      </c>
      <c r="G290" s="1">
        <v>0</v>
      </c>
      <c r="H290" s="1">
        <v>0</v>
      </c>
      <c r="I290" s="1" t="s">
        <v>442</v>
      </c>
      <c r="J290" s="1">
        <v>17499</v>
      </c>
      <c r="K290" s="1">
        <v>116351</v>
      </c>
    </row>
    <row r="291" spans="1:11" x14ac:dyDescent="0.2">
      <c r="A291" s="1" t="s">
        <v>486</v>
      </c>
      <c r="B291" s="1" t="s">
        <v>443</v>
      </c>
      <c r="C291" s="15">
        <v>42256</v>
      </c>
      <c r="D291" s="1" t="s">
        <v>23</v>
      </c>
      <c r="E291" s="1" t="s">
        <v>27</v>
      </c>
      <c r="F291" s="1" t="s">
        <v>763</v>
      </c>
      <c r="G291" s="1">
        <v>0</v>
      </c>
      <c r="H291" s="1">
        <v>0</v>
      </c>
      <c r="I291" s="1" t="s">
        <v>764</v>
      </c>
      <c r="J291" s="1">
        <v>17499</v>
      </c>
      <c r="K291" s="1">
        <v>116353</v>
      </c>
    </row>
    <row r="292" spans="1:11" x14ac:dyDescent="0.2">
      <c r="A292" s="1" t="s">
        <v>486</v>
      </c>
      <c r="B292" s="1" t="s">
        <v>55</v>
      </c>
      <c r="C292" s="15">
        <v>42234</v>
      </c>
      <c r="D292" s="1" t="s">
        <v>23</v>
      </c>
      <c r="E292" s="1" t="s">
        <v>27</v>
      </c>
      <c r="F292" s="1" t="s">
        <v>767</v>
      </c>
      <c r="G292" s="1">
        <v>1010.2</v>
      </c>
      <c r="H292" s="1">
        <v>143166</v>
      </c>
      <c r="I292" s="1" t="s">
        <v>99</v>
      </c>
      <c r="J292" s="1">
        <v>16270</v>
      </c>
      <c r="K292" s="1">
        <v>109847</v>
      </c>
    </row>
    <row r="293" spans="1:11" x14ac:dyDescent="0.2">
      <c r="A293" s="1" t="s">
        <v>486</v>
      </c>
      <c r="B293" s="1" t="s">
        <v>55</v>
      </c>
      <c r="C293" s="15">
        <v>42234</v>
      </c>
      <c r="D293" s="1" t="s">
        <v>23</v>
      </c>
      <c r="E293" s="1" t="s">
        <v>27</v>
      </c>
      <c r="F293" s="1" t="s">
        <v>767</v>
      </c>
      <c r="G293" s="1">
        <v>42</v>
      </c>
      <c r="H293" s="1">
        <v>0</v>
      </c>
      <c r="I293" s="1" t="s">
        <v>768</v>
      </c>
      <c r="J293" s="1">
        <v>16270</v>
      </c>
      <c r="K293" s="1">
        <v>109852</v>
      </c>
    </row>
    <row r="294" spans="1:11" x14ac:dyDescent="0.2">
      <c r="A294" s="1" t="s">
        <v>486</v>
      </c>
      <c r="B294" s="1" t="s">
        <v>55</v>
      </c>
      <c r="C294" s="15">
        <v>42234</v>
      </c>
      <c r="D294" s="1" t="s">
        <v>23</v>
      </c>
      <c r="E294" s="1" t="s">
        <v>27</v>
      </c>
      <c r="F294" s="1" t="s">
        <v>767</v>
      </c>
      <c r="G294" s="1">
        <v>42</v>
      </c>
      <c r="H294" s="1">
        <v>0</v>
      </c>
      <c r="I294" s="1" t="s">
        <v>769</v>
      </c>
      <c r="J294" s="1">
        <v>16270</v>
      </c>
      <c r="K294" s="1">
        <v>109879</v>
      </c>
    </row>
    <row r="295" spans="1:11" x14ac:dyDescent="0.2">
      <c r="A295" s="1" t="s">
        <v>486</v>
      </c>
      <c r="B295" s="1" t="s">
        <v>55</v>
      </c>
      <c r="C295" s="15">
        <v>42234</v>
      </c>
      <c r="D295" s="1" t="s">
        <v>23</v>
      </c>
      <c r="E295" s="1" t="s">
        <v>24</v>
      </c>
      <c r="F295" s="1" t="s">
        <v>770</v>
      </c>
      <c r="G295" s="1">
        <v>3120</v>
      </c>
      <c r="H295" s="1">
        <v>143165</v>
      </c>
      <c r="I295" s="1" t="s">
        <v>245</v>
      </c>
      <c r="J295" s="1">
        <v>16270</v>
      </c>
      <c r="K295" s="1">
        <v>110842</v>
      </c>
    </row>
    <row r="296" spans="1:11" x14ac:dyDescent="0.2">
      <c r="A296" s="1" t="s">
        <v>486</v>
      </c>
      <c r="B296" s="1" t="s">
        <v>55</v>
      </c>
      <c r="C296" s="15">
        <v>42234</v>
      </c>
      <c r="D296" s="1" t="s">
        <v>23</v>
      </c>
      <c r="E296" s="1" t="s">
        <v>26</v>
      </c>
      <c r="F296" s="1" t="s">
        <v>771</v>
      </c>
      <c r="G296" s="1">
        <v>114.73</v>
      </c>
      <c r="H296" s="1">
        <v>143165</v>
      </c>
      <c r="I296" s="1" t="s">
        <v>471</v>
      </c>
      <c r="J296" s="1">
        <v>16270</v>
      </c>
      <c r="K296" s="1">
        <v>111288</v>
      </c>
    </row>
    <row r="297" spans="1:11" x14ac:dyDescent="0.2">
      <c r="A297" s="1" t="s">
        <v>486</v>
      </c>
      <c r="B297" s="1" t="s">
        <v>55</v>
      </c>
      <c r="C297" s="15">
        <v>42234</v>
      </c>
      <c r="D297" s="1" t="s">
        <v>23</v>
      </c>
      <c r="E297" s="1" t="s">
        <v>27</v>
      </c>
      <c r="F297" s="1" t="s">
        <v>767</v>
      </c>
      <c r="G297" s="1">
        <v>42</v>
      </c>
      <c r="H297" s="1">
        <v>143167</v>
      </c>
      <c r="I297" s="1" t="s">
        <v>161</v>
      </c>
      <c r="J297" s="1">
        <v>16270</v>
      </c>
      <c r="K297" s="1">
        <v>112295</v>
      </c>
    </row>
    <row r="298" spans="1:11" x14ac:dyDescent="0.2">
      <c r="A298" s="1" t="s">
        <v>486</v>
      </c>
      <c r="B298" s="1" t="s">
        <v>55</v>
      </c>
      <c r="C298" s="15">
        <v>42234</v>
      </c>
      <c r="D298" s="1" t="s">
        <v>23</v>
      </c>
      <c r="E298" s="1" t="s">
        <v>26</v>
      </c>
      <c r="F298" s="1" t="s">
        <v>771</v>
      </c>
      <c r="G298" s="1">
        <v>34</v>
      </c>
      <c r="H298" s="1">
        <v>143166</v>
      </c>
      <c r="I298" s="1" t="s">
        <v>476</v>
      </c>
      <c r="J298" s="1">
        <v>16270</v>
      </c>
      <c r="K298" s="1">
        <v>112539</v>
      </c>
    </row>
    <row r="299" spans="1:11" x14ac:dyDescent="0.2">
      <c r="A299" s="1" t="s">
        <v>486</v>
      </c>
      <c r="B299" s="1" t="s">
        <v>55</v>
      </c>
      <c r="C299" s="15">
        <v>42234</v>
      </c>
      <c r="D299" s="1" t="s">
        <v>23</v>
      </c>
      <c r="E299" s="1" t="s">
        <v>25</v>
      </c>
      <c r="F299" s="1" t="s">
        <v>772</v>
      </c>
      <c r="G299" s="1">
        <v>386.2</v>
      </c>
      <c r="H299" s="1">
        <v>143166</v>
      </c>
      <c r="I299" s="1" t="s">
        <v>176</v>
      </c>
      <c r="J299" s="1">
        <v>16270</v>
      </c>
      <c r="K299" s="1">
        <v>114920</v>
      </c>
    </row>
    <row r="300" spans="1:11" x14ac:dyDescent="0.2">
      <c r="A300" s="1" t="s">
        <v>486</v>
      </c>
      <c r="B300" s="1" t="s">
        <v>55</v>
      </c>
      <c r="C300" s="15">
        <v>42234</v>
      </c>
      <c r="D300" s="1" t="s">
        <v>23</v>
      </c>
      <c r="E300" s="1" t="s">
        <v>27</v>
      </c>
      <c r="F300" s="1" t="s">
        <v>767</v>
      </c>
      <c r="G300" s="1">
        <v>486.2</v>
      </c>
      <c r="H300" s="1">
        <v>143165</v>
      </c>
      <c r="I300" s="1" t="s">
        <v>54</v>
      </c>
      <c r="J300" s="1">
        <v>16270</v>
      </c>
      <c r="K300" s="1">
        <v>109152</v>
      </c>
    </row>
    <row r="301" spans="1:11" x14ac:dyDescent="0.2">
      <c r="A301" s="1" t="s">
        <v>486</v>
      </c>
      <c r="B301" s="1" t="s">
        <v>55</v>
      </c>
      <c r="C301" s="15">
        <v>42234</v>
      </c>
      <c r="D301" s="1" t="s">
        <v>23</v>
      </c>
      <c r="E301" s="1" t="s">
        <v>27</v>
      </c>
      <c r="F301" s="1" t="s">
        <v>767</v>
      </c>
      <c r="G301" s="1">
        <v>1042.2</v>
      </c>
      <c r="H301" s="1">
        <v>143167</v>
      </c>
      <c r="I301" s="1" t="s">
        <v>100</v>
      </c>
      <c r="J301" s="1">
        <v>16270</v>
      </c>
      <c r="K301" s="1">
        <v>109850</v>
      </c>
    </row>
    <row r="302" spans="1:11" x14ac:dyDescent="0.2">
      <c r="A302" s="1" t="s">
        <v>486</v>
      </c>
      <c r="B302" s="1" t="s">
        <v>55</v>
      </c>
      <c r="C302" s="15">
        <v>42234</v>
      </c>
      <c r="D302" s="1" t="s">
        <v>23</v>
      </c>
      <c r="E302" s="1" t="s">
        <v>27</v>
      </c>
      <c r="F302" s="1" t="s">
        <v>767</v>
      </c>
      <c r="G302" s="1">
        <v>42</v>
      </c>
      <c r="H302" s="1">
        <v>143165</v>
      </c>
      <c r="I302" s="1" t="s">
        <v>101</v>
      </c>
      <c r="J302" s="1">
        <v>16270</v>
      </c>
      <c r="K302" s="1">
        <v>109853</v>
      </c>
    </row>
    <row r="303" spans="1:11" x14ac:dyDescent="0.2">
      <c r="A303" s="1" t="s">
        <v>486</v>
      </c>
      <c r="B303" s="1" t="s">
        <v>55</v>
      </c>
      <c r="C303" s="15">
        <v>42234</v>
      </c>
      <c r="D303" s="1" t="s">
        <v>23</v>
      </c>
      <c r="E303" s="1" t="s">
        <v>24</v>
      </c>
      <c r="F303" s="1" t="s">
        <v>770</v>
      </c>
      <c r="G303" s="1">
        <v>3360</v>
      </c>
      <c r="H303" s="1">
        <v>143166</v>
      </c>
      <c r="I303" s="1" t="s">
        <v>244</v>
      </c>
      <c r="J303" s="1">
        <v>16270</v>
      </c>
      <c r="K303" s="1">
        <v>110841</v>
      </c>
    </row>
    <row r="304" spans="1:11" x14ac:dyDescent="0.2">
      <c r="A304" s="1" t="s">
        <v>486</v>
      </c>
      <c r="B304" s="1" t="s">
        <v>55</v>
      </c>
      <c r="C304" s="15">
        <v>42234</v>
      </c>
      <c r="D304" s="1" t="s">
        <v>23</v>
      </c>
      <c r="E304" s="1" t="s">
        <v>24</v>
      </c>
      <c r="F304" s="1" t="s">
        <v>770</v>
      </c>
      <c r="G304" s="1">
        <v>3120</v>
      </c>
      <c r="H304" s="1">
        <v>143167</v>
      </c>
      <c r="I304" s="1" t="s">
        <v>246</v>
      </c>
      <c r="J304" s="1">
        <v>16270</v>
      </c>
      <c r="K304" s="1">
        <v>110843</v>
      </c>
    </row>
    <row r="305" spans="1:11" x14ac:dyDescent="0.2">
      <c r="A305" s="1" t="s">
        <v>486</v>
      </c>
      <c r="B305" s="1" t="s">
        <v>55</v>
      </c>
      <c r="C305" s="15">
        <v>42234</v>
      </c>
      <c r="D305" s="1" t="s">
        <v>23</v>
      </c>
      <c r="E305" s="1" t="s">
        <v>27</v>
      </c>
      <c r="F305" s="1" t="s">
        <v>767</v>
      </c>
      <c r="G305" s="1">
        <v>42</v>
      </c>
      <c r="H305" s="1">
        <v>143166</v>
      </c>
      <c r="I305" s="1" t="s">
        <v>160</v>
      </c>
      <c r="J305" s="1">
        <v>16270</v>
      </c>
      <c r="K305" s="1">
        <v>112282</v>
      </c>
    </row>
    <row r="306" spans="1:11" x14ac:dyDescent="0.2">
      <c r="A306" s="1" t="s">
        <v>486</v>
      </c>
      <c r="B306" s="1" t="s">
        <v>55</v>
      </c>
      <c r="C306" s="15">
        <v>42234</v>
      </c>
      <c r="D306" s="1" t="s">
        <v>23</v>
      </c>
      <c r="E306" s="1" t="s">
        <v>26</v>
      </c>
      <c r="F306" s="1" t="s">
        <v>771</v>
      </c>
      <c r="G306" s="1">
        <v>96.16</v>
      </c>
      <c r="H306" s="1">
        <v>143167</v>
      </c>
      <c r="I306" s="1" t="s">
        <v>475</v>
      </c>
      <c r="J306" s="1">
        <v>16270</v>
      </c>
      <c r="K306" s="1">
        <v>112340</v>
      </c>
    </row>
    <row r="307" spans="1:11" x14ac:dyDescent="0.2">
      <c r="A307" s="1" t="s">
        <v>486</v>
      </c>
      <c r="B307" s="1" t="s">
        <v>55</v>
      </c>
      <c r="C307" s="15">
        <v>42234</v>
      </c>
      <c r="D307" s="1" t="s">
        <v>23</v>
      </c>
      <c r="E307" s="1" t="s">
        <v>25</v>
      </c>
      <c r="F307" s="1" t="s">
        <v>772</v>
      </c>
      <c r="G307" s="1">
        <v>193.1</v>
      </c>
      <c r="H307" s="1">
        <v>143167</v>
      </c>
      <c r="I307" s="1" t="s">
        <v>175</v>
      </c>
      <c r="J307" s="1">
        <v>16270</v>
      </c>
      <c r="K307" s="1">
        <v>114561</v>
      </c>
    </row>
    <row r="308" spans="1:11" x14ac:dyDescent="0.2">
      <c r="A308" s="1" t="s">
        <v>486</v>
      </c>
      <c r="B308" s="1" t="s">
        <v>55</v>
      </c>
      <c r="C308" s="15">
        <v>42234</v>
      </c>
      <c r="D308" s="1" t="s">
        <v>23</v>
      </c>
      <c r="E308" s="1" t="s">
        <v>25</v>
      </c>
      <c r="F308" s="1" t="s">
        <v>772</v>
      </c>
      <c r="G308" s="1">
        <v>193.1</v>
      </c>
      <c r="H308" s="1">
        <v>143165</v>
      </c>
      <c r="I308" s="1" t="s">
        <v>177</v>
      </c>
      <c r="J308" s="1">
        <v>16270</v>
      </c>
      <c r="K308" s="1">
        <v>114921</v>
      </c>
    </row>
    <row r="309" spans="1:11" x14ac:dyDescent="0.2">
      <c r="A309" s="1" t="s">
        <v>486</v>
      </c>
      <c r="B309" s="1" t="s">
        <v>45</v>
      </c>
      <c r="C309" s="15">
        <v>42216</v>
      </c>
      <c r="D309" s="1" t="s">
        <v>23</v>
      </c>
      <c r="E309" s="1" t="s">
        <v>24</v>
      </c>
      <c r="F309" s="1" t="s">
        <v>776</v>
      </c>
      <c r="G309" s="1">
        <v>2100</v>
      </c>
      <c r="H309" s="1">
        <v>142980</v>
      </c>
      <c r="I309" s="1" t="s">
        <v>181</v>
      </c>
      <c r="J309" s="1">
        <v>16468</v>
      </c>
      <c r="K309" s="1">
        <v>109456</v>
      </c>
    </row>
    <row r="310" spans="1:11" x14ac:dyDescent="0.2">
      <c r="A310" s="1" t="s">
        <v>486</v>
      </c>
      <c r="B310" s="1" t="s">
        <v>45</v>
      </c>
      <c r="C310" s="15">
        <v>42216</v>
      </c>
      <c r="D310" s="1" t="s">
        <v>23</v>
      </c>
      <c r="E310" s="1" t="s">
        <v>27</v>
      </c>
      <c r="F310" s="1" t="s">
        <v>774</v>
      </c>
      <c r="G310" s="1">
        <v>69</v>
      </c>
      <c r="H310" s="1">
        <v>142971</v>
      </c>
      <c r="I310" s="1" t="s">
        <v>125</v>
      </c>
      <c r="J310" s="1">
        <v>16468</v>
      </c>
      <c r="K310" s="1">
        <v>110483</v>
      </c>
    </row>
    <row r="311" spans="1:11" x14ac:dyDescent="0.2">
      <c r="A311" s="1" t="s">
        <v>486</v>
      </c>
      <c r="B311" s="1" t="s">
        <v>45</v>
      </c>
      <c r="C311" s="15">
        <v>42216</v>
      </c>
      <c r="D311" s="1" t="s">
        <v>23</v>
      </c>
      <c r="E311" s="1" t="s">
        <v>24</v>
      </c>
      <c r="F311" s="1" t="s">
        <v>776</v>
      </c>
      <c r="G311" s="1">
        <v>2100</v>
      </c>
      <c r="H311" s="1">
        <v>142976</v>
      </c>
      <c r="I311" s="1" t="s">
        <v>181</v>
      </c>
      <c r="J311" s="1">
        <v>16468</v>
      </c>
      <c r="K311" s="1">
        <v>109459</v>
      </c>
    </row>
    <row r="312" spans="1:11" x14ac:dyDescent="0.2">
      <c r="A312" s="1" t="s">
        <v>486</v>
      </c>
      <c r="B312" s="1" t="s">
        <v>45</v>
      </c>
      <c r="C312" s="15">
        <v>42216</v>
      </c>
      <c r="D312" s="1" t="s">
        <v>23</v>
      </c>
      <c r="E312" s="1" t="s">
        <v>27</v>
      </c>
      <c r="F312" s="1" t="s">
        <v>774</v>
      </c>
      <c r="G312" s="1">
        <v>42</v>
      </c>
      <c r="H312" s="1">
        <v>142973</v>
      </c>
      <c r="I312" s="1" t="s">
        <v>126</v>
      </c>
      <c r="J312" s="1">
        <v>16468</v>
      </c>
      <c r="K312" s="1">
        <v>110485</v>
      </c>
    </row>
    <row r="313" spans="1:11" x14ac:dyDescent="0.2">
      <c r="A313" s="1" t="s">
        <v>486</v>
      </c>
      <c r="B313" s="1" t="s">
        <v>45</v>
      </c>
      <c r="C313" s="15">
        <v>42216</v>
      </c>
      <c r="D313" s="1" t="s">
        <v>23</v>
      </c>
      <c r="E313" s="1" t="s">
        <v>24</v>
      </c>
      <c r="F313" s="1" t="s">
        <v>776</v>
      </c>
      <c r="G313" s="1">
        <v>2100</v>
      </c>
      <c r="H313" s="1">
        <v>142996</v>
      </c>
      <c r="I313" s="1" t="s">
        <v>181</v>
      </c>
      <c r="J313" s="1">
        <v>16468</v>
      </c>
      <c r="K313" s="1">
        <v>109466</v>
      </c>
    </row>
    <row r="314" spans="1:11" x14ac:dyDescent="0.2">
      <c r="A314" s="1" t="s">
        <v>486</v>
      </c>
      <c r="B314" s="1" t="s">
        <v>45</v>
      </c>
      <c r="C314" s="15">
        <v>42216</v>
      </c>
      <c r="D314" s="1" t="s">
        <v>23</v>
      </c>
      <c r="E314" s="1" t="s">
        <v>27</v>
      </c>
      <c r="F314" s="1" t="s">
        <v>774</v>
      </c>
      <c r="G314" s="1">
        <v>42</v>
      </c>
      <c r="H314" s="1">
        <v>142994</v>
      </c>
      <c r="I314" s="1" t="s">
        <v>128</v>
      </c>
      <c r="J314" s="1">
        <v>16468</v>
      </c>
      <c r="K314" s="1">
        <v>110487</v>
      </c>
    </row>
    <row r="315" spans="1:11" x14ac:dyDescent="0.2">
      <c r="A315" s="1" t="s">
        <v>486</v>
      </c>
      <c r="B315" s="1" t="s">
        <v>45</v>
      </c>
      <c r="C315" s="15">
        <v>42216</v>
      </c>
      <c r="D315" s="1" t="s">
        <v>23</v>
      </c>
      <c r="E315" s="1" t="s">
        <v>26</v>
      </c>
      <c r="F315" s="1" t="s">
        <v>773</v>
      </c>
      <c r="G315" s="1">
        <v>152.18</v>
      </c>
      <c r="H315" s="1">
        <v>142954</v>
      </c>
      <c r="I315" s="1" t="s">
        <v>457</v>
      </c>
      <c r="J315" s="1">
        <v>16468</v>
      </c>
      <c r="K315" s="1">
        <v>109894</v>
      </c>
    </row>
    <row r="316" spans="1:11" x14ac:dyDescent="0.2">
      <c r="A316" s="1" t="s">
        <v>486</v>
      </c>
      <c r="B316" s="1" t="s">
        <v>45</v>
      </c>
      <c r="C316" s="15">
        <v>42216</v>
      </c>
      <c r="D316" s="1" t="s">
        <v>23</v>
      </c>
      <c r="E316" s="1" t="s">
        <v>27</v>
      </c>
      <c r="F316" s="1" t="s">
        <v>774</v>
      </c>
      <c r="G316" s="1">
        <v>42</v>
      </c>
      <c r="H316" s="1">
        <v>143041</v>
      </c>
      <c r="I316" s="1" t="s">
        <v>130</v>
      </c>
      <c r="J316" s="1">
        <v>16468</v>
      </c>
      <c r="K316" s="1">
        <v>110489</v>
      </c>
    </row>
    <row r="317" spans="1:11" x14ac:dyDescent="0.2">
      <c r="A317" s="1" t="s">
        <v>486</v>
      </c>
      <c r="B317" s="1" t="s">
        <v>45</v>
      </c>
      <c r="C317" s="15">
        <v>42216</v>
      </c>
      <c r="D317" s="1" t="s">
        <v>23</v>
      </c>
      <c r="E317" s="1" t="s">
        <v>26</v>
      </c>
      <c r="F317" s="1" t="s">
        <v>773</v>
      </c>
      <c r="G317" s="1">
        <v>54</v>
      </c>
      <c r="H317" s="1">
        <v>142967</v>
      </c>
      <c r="I317" s="1" t="s">
        <v>459</v>
      </c>
      <c r="J317" s="1">
        <v>16468</v>
      </c>
      <c r="K317" s="1">
        <v>109896</v>
      </c>
    </row>
    <row r="318" spans="1:11" x14ac:dyDescent="0.2">
      <c r="A318" s="1" t="s">
        <v>486</v>
      </c>
      <c r="B318" s="1" t="s">
        <v>45</v>
      </c>
      <c r="C318" s="15">
        <v>42216</v>
      </c>
      <c r="D318" s="1" t="s">
        <v>23</v>
      </c>
      <c r="E318" s="1" t="s">
        <v>27</v>
      </c>
      <c r="F318" s="1" t="s">
        <v>774</v>
      </c>
      <c r="G318" s="1">
        <v>42</v>
      </c>
      <c r="H318" s="1">
        <v>143049</v>
      </c>
      <c r="I318" s="1" t="s">
        <v>131</v>
      </c>
      <c r="J318" s="1">
        <v>16468</v>
      </c>
      <c r="K318" s="1">
        <v>110491</v>
      </c>
    </row>
    <row r="319" spans="1:11" x14ac:dyDescent="0.2">
      <c r="A319" s="1" t="s">
        <v>486</v>
      </c>
      <c r="B319" s="1" t="s">
        <v>45</v>
      </c>
      <c r="C319" s="15">
        <v>42216</v>
      </c>
      <c r="D319" s="1" t="s">
        <v>23</v>
      </c>
      <c r="E319" s="1" t="s">
        <v>26</v>
      </c>
      <c r="F319" s="1" t="s">
        <v>773</v>
      </c>
      <c r="G319" s="1">
        <v>117.8</v>
      </c>
      <c r="H319" s="1">
        <v>142974</v>
      </c>
      <c r="I319" s="1" t="s">
        <v>461</v>
      </c>
      <c r="J319" s="1">
        <v>16468</v>
      </c>
      <c r="K319" s="1">
        <v>109898</v>
      </c>
    </row>
    <row r="320" spans="1:11" x14ac:dyDescent="0.2">
      <c r="A320" s="1" t="s">
        <v>486</v>
      </c>
      <c r="B320" s="1" t="s">
        <v>45</v>
      </c>
      <c r="C320" s="15">
        <v>42216</v>
      </c>
      <c r="D320" s="1" t="s">
        <v>23</v>
      </c>
      <c r="E320" s="1" t="s">
        <v>27</v>
      </c>
      <c r="F320" s="1" t="s">
        <v>774</v>
      </c>
      <c r="G320" s="1">
        <v>42</v>
      </c>
      <c r="H320" s="1">
        <v>142997</v>
      </c>
      <c r="I320" s="1" t="s">
        <v>133</v>
      </c>
      <c r="J320" s="1">
        <v>16468</v>
      </c>
      <c r="K320" s="1">
        <v>110493</v>
      </c>
    </row>
    <row r="321" spans="1:11" x14ac:dyDescent="0.2">
      <c r="A321" s="1" t="s">
        <v>486</v>
      </c>
      <c r="B321" s="1" t="s">
        <v>45</v>
      </c>
      <c r="C321" s="15">
        <v>42216</v>
      </c>
      <c r="D321" s="1" t="s">
        <v>23</v>
      </c>
      <c r="E321" s="1" t="s">
        <v>26</v>
      </c>
      <c r="F321" s="1" t="s">
        <v>773</v>
      </c>
      <c r="G321" s="1">
        <v>59.3</v>
      </c>
      <c r="H321" s="1">
        <v>142972</v>
      </c>
      <c r="I321" s="1" t="s">
        <v>463</v>
      </c>
      <c r="J321" s="1">
        <v>16468</v>
      </c>
      <c r="K321" s="1">
        <v>110073</v>
      </c>
    </row>
    <row r="322" spans="1:11" x14ac:dyDescent="0.2">
      <c r="A322" s="1" t="s">
        <v>486</v>
      </c>
      <c r="B322" s="1" t="s">
        <v>45</v>
      </c>
      <c r="C322" s="15">
        <v>42216</v>
      </c>
      <c r="D322" s="1" t="s">
        <v>23</v>
      </c>
      <c r="E322" s="1" t="s">
        <v>27</v>
      </c>
      <c r="F322" s="1" t="s">
        <v>774</v>
      </c>
      <c r="G322" s="1">
        <v>49</v>
      </c>
      <c r="H322" s="1">
        <v>143037</v>
      </c>
      <c r="I322" s="1" t="s">
        <v>135</v>
      </c>
      <c r="J322" s="1">
        <v>16468</v>
      </c>
      <c r="K322" s="1">
        <v>110495</v>
      </c>
    </row>
    <row r="323" spans="1:11" x14ac:dyDescent="0.2">
      <c r="A323" s="1" t="s">
        <v>486</v>
      </c>
      <c r="B323" s="1" t="s">
        <v>45</v>
      </c>
      <c r="C323" s="15">
        <v>42216</v>
      </c>
      <c r="D323" s="1" t="s">
        <v>23</v>
      </c>
      <c r="E323" s="1" t="s">
        <v>27</v>
      </c>
      <c r="F323" s="1" t="s">
        <v>774</v>
      </c>
      <c r="G323" s="1">
        <v>42</v>
      </c>
      <c r="H323" s="1">
        <v>143030</v>
      </c>
      <c r="I323" s="1" t="s">
        <v>106</v>
      </c>
      <c r="J323" s="1">
        <v>16468</v>
      </c>
      <c r="K323" s="1">
        <v>110457</v>
      </c>
    </row>
    <row r="324" spans="1:11" x14ac:dyDescent="0.2">
      <c r="A324" s="1" t="s">
        <v>486</v>
      </c>
      <c r="B324" s="1" t="s">
        <v>45</v>
      </c>
      <c r="C324" s="15">
        <v>42216</v>
      </c>
      <c r="D324" s="1" t="s">
        <v>23</v>
      </c>
      <c r="E324" s="1" t="s">
        <v>27</v>
      </c>
      <c r="F324" s="1" t="s">
        <v>774</v>
      </c>
      <c r="G324" s="1">
        <v>42</v>
      </c>
      <c r="H324" s="1">
        <v>143042</v>
      </c>
      <c r="I324" s="1" t="s">
        <v>136</v>
      </c>
      <c r="J324" s="1">
        <v>16468</v>
      </c>
      <c r="K324" s="1">
        <v>110497</v>
      </c>
    </row>
    <row r="325" spans="1:11" x14ac:dyDescent="0.2">
      <c r="A325" s="1" t="s">
        <v>486</v>
      </c>
      <c r="B325" s="1" t="s">
        <v>45</v>
      </c>
      <c r="C325" s="15">
        <v>42216</v>
      </c>
      <c r="D325" s="1" t="s">
        <v>23</v>
      </c>
      <c r="E325" s="1" t="s">
        <v>27</v>
      </c>
      <c r="F325" s="1" t="s">
        <v>774</v>
      </c>
      <c r="G325" s="1">
        <v>22</v>
      </c>
      <c r="H325" s="1">
        <v>143034</v>
      </c>
      <c r="I325" s="1" t="s">
        <v>107</v>
      </c>
      <c r="J325" s="1">
        <v>16468</v>
      </c>
      <c r="K325" s="1">
        <v>110459</v>
      </c>
    </row>
    <row r="326" spans="1:11" x14ac:dyDescent="0.2">
      <c r="A326" s="1" t="s">
        <v>486</v>
      </c>
      <c r="B326" s="1" t="s">
        <v>45</v>
      </c>
      <c r="C326" s="15">
        <v>42216</v>
      </c>
      <c r="D326" s="1" t="s">
        <v>23</v>
      </c>
      <c r="E326" s="1" t="s">
        <v>24</v>
      </c>
      <c r="F326" s="1" t="s">
        <v>776</v>
      </c>
      <c r="G326" s="1">
        <v>1890</v>
      </c>
      <c r="H326" s="1">
        <v>143042</v>
      </c>
      <c r="I326" s="1" t="s">
        <v>181</v>
      </c>
      <c r="J326" s="1">
        <v>16468</v>
      </c>
      <c r="K326" s="1">
        <v>109425</v>
      </c>
    </row>
    <row r="327" spans="1:11" x14ac:dyDescent="0.2">
      <c r="A327" s="1" t="s">
        <v>486</v>
      </c>
      <c r="B327" s="1" t="s">
        <v>45</v>
      </c>
      <c r="C327" s="15">
        <v>42216</v>
      </c>
      <c r="D327" s="1" t="s">
        <v>23</v>
      </c>
      <c r="E327" s="1" t="s">
        <v>27</v>
      </c>
      <c r="F327" s="1" t="s">
        <v>774</v>
      </c>
      <c r="G327" s="1">
        <v>42</v>
      </c>
      <c r="H327" s="1">
        <v>142969</v>
      </c>
      <c r="I327" s="1" t="s">
        <v>109</v>
      </c>
      <c r="J327" s="1">
        <v>16468</v>
      </c>
      <c r="K327" s="1">
        <v>110461</v>
      </c>
    </row>
    <row r="328" spans="1:11" x14ac:dyDescent="0.2">
      <c r="A328" s="1" t="s">
        <v>486</v>
      </c>
      <c r="B328" s="1" t="s">
        <v>45</v>
      </c>
      <c r="C328" s="15">
        <v>42216</v>
      </c>
      <c r="D328" s="1" t="s">
        <v>23</v>
      </c>
      <c r="E328" s="1" t="s">
        <v>24</v>
      </c>
      <c r="F328" s="1" t="s">
        <v>776</v>
      </c>
      <c r="G328" s="1">
        <v>2100</v>
      </c>
      <c r="H328" s="1">
        <v>142977</v>
      </c>
      <c r="I328" s="1" t="s">
        <v>181</v>
      </c>
      <c r="J328" s="1">
        <v>16468</v>
      </c>
      <c r="K328" s="1">
        <v>109427</v>
      </c>
    </row>
    <row r="329" spans="1:11" x14ac:dyDescent="0.2">
      <c r="A329" s="1" t="s">
        <v>486</v>
      </c>
      <c r="B329" s="1" t="s">
        <v>45</v>
      </c>
      <c r="C329" s="15">
        <v>42216</v>
      </c>
      <c r="D329" s="1" t="s">
        <v>23</v>
      </c>
      <c r="E329" s="1" t="s">
        <v>27</v>
      </c>
      <c r="F329" s="1" t="s">
        <v>774</v>
      </c>
      <c r="G329" s="1">
        <v>42</v>
      </c>
      <c r="H329" s="1">
        <v>142979</v>
      </c>
      <c r="I329" s="1" t="s">
        <v>111</v>
      </c>
      <c r="J329" s="1">
        <v>16468</v>
      </c>
      <c r="K329" s="1">
        <v>110463</v>
      </c>
    </row>
    <row r="330" spans="1:11" x14ac:dyDescent="0.2">
      <c r="A330" s="1" t="s">
        <v>486</v>
      </c>
      <c r="B330" s="1" t="s">
        <v>45</v>
      </c>
      <c r="C330" s="15">
        <v>42216</v>
      </c>
      <c r="D330" s="1" t="s">
        <v>23</v>
      </c>
      <c r="E330" s="1" t="s">
        <v>24</v>
      </c>
      <c r="F330" s="1" t="s">
        <v>776</v>
      </c>
      <c r="G330" s="1">
        <v>2100</v>
      </c>
      <c r="H330" s="1">
        <v>142979</v>
      </c>
      <c r="I330" s="1" t="s">
        <v>181</v>
      </c>
      <c r="J330" s="1">
        <v>16468</v>
      </c>
      <c r="K330" s="1">
        <v>109429</v>
      </c>
    </row>
    <row r="331" spans="1:11" x14ac:dyDescent="0.2">
      <c r="A331" s="1" t="s">
        <v>486</v>
      </c>
      <c r="B331" s="1" t="s">
        <v>45</v>
      </c>
      <c r="C331" s="15">
        <v>42216</v>
      </c>
      <c r="D331" s="1" t="s">
        <v>23</v>
      </c>
      <c r="E331" s="1" t="s">
        <v>27</v>
      </c>
      <c r="F331" s="1" t="s">
        <v>774</v>
      </c>
      <c r="G331" s="1">
        <v>42</v>
      </c>
      <c r="H331" s="1">
        <v>143021</v>
      </c>
      <c r="I331" s="1" t="s">
        <v>113</v>
      </c>
      <c r="J331" s="1">
        <v>16468</v>
      </c>
      <c r="K331" s="1">
        <v>110465</v>
      </c>
    </row>
    <row r="332" spans="1:11" x14ac:dyDescent="0.2">
      <c r="A332" s="1" t="s">
        <v>486</v>
      </c>
      <c r="B332" s="1" t="s">
        <v>45</v>
      </c>
      <c r="C332" s="15">
        <v>42216</v>
      </c>
      <c r="D332" s="1" t="s">
        <v>23</v>
      </c>
      <c r="E332" s="1" t="s">
        <v>24</v>
      </c>
      <c r="F332" s="1" t="s">
        <v>776</v>
      </c>
      <c r="G332" s="1">
        <v>1950</v>
      </c>
      <c r="H332" s="1">
        <v>143041</v>
      </c>
      <c r="I332" s="1" t="s">
        <v>180</v>
      </c>
      <c r="J332" s="1">
        <v>16468</v>
      </c>
      <c r="K332" s="1">
        <v>109431</v>
      </c>
    </row>
    <row r="333" spans="1:11" x14ac:dyDescent="0.2">
      <c r="A333" s="1" t="s">
        <v>486</v>
      </c>
      <c r="B333" s="1" t="s">
        <v>45</v>
      </c>
      <c r="C333" s="15">
        <v>42216</v>
      </c>
      <c r="D333" s="1" t="s">
        <v>23</v>
      </c>
      <c r="E333" s="1" t="s">
        <v>27</v>
      </c>
      <c r="F333" s="1" t="s">
        <v>774</v>
      </c>
      <c r="G333" s="1">
        <v>42</v>
      </c>
      <c r="H333" s="1">
        <v>143038</v>
      </c>
      <c r="I333" s="1" t="s">
        <v>115</v>
      </c>
      <c r="J333" s="1">
        <v>16468</v>
      </c>
      <c r="K333" s="1">
        <v>110467</v>
      </c>
    </row>
    <row r="334" spans="1:11" x14ac:dyDescent="0.2">
      <c r="A334" s="1" t="s">
        <v>486</v>
      </c>
      <c r="B334" s="1" t="s">
        <v>45</v>
      </c>
      <c r="C334" s="15">
        <v>42216</v>
      </c>
      <c r="D334" s="1" t="s">
        <v>23</v>
      </c>
      <c r="E334" s="1" t="s">
        <v>24</v>
      </c>
      <c r="F334" s="1" t="s">
        <v>776</v>
      </c>
      <c r="G334" s="1">
        <v>2100</v>
      </c>
      <c r="H334" s="1">
        <v>142968</v>
      </c>
      <c r="I334" s="1" t="s">
        <v>181</v>
      </c>
      <c r="J334" s="1">
        <v>16468</v>
      </c>
      <c r="K334" s="1">
        <v>109435</v>
      </c>
    </row>
    <row r="335" spans="1:11" x14ac:dyDescent="0.2">
      <c r="A335" s="1" t="s">
        <v>486</v>
      </c>
      <c r="B335" s="1" t="s">
        <v>45</v>
      </c>
      <c r="C335" s="15">
        <v>42216</v>
      </c>
      <c r="D335" s="1" t="s">
        <v>23</v>
      </c>
      <c r="E335" s="1" t="s">
        <v>27</v>
      </c>
      <c r="F335" s="1" t="s">
        <v>774</v>
      </c>
      <c r="G335" s="1">
        <v>42</v>
      </c>
      <c r="H335" s="1">
        <v>143039</v>
      </c>
      <c r="I335" s="1" t="s">
        <v>116</v>
      </c>
      <c r="J335" s="1">
        <v>16468</v>
      </c>
      <c r="K335" s="1">
        <v>110469</v>
      </c>
    </row>
    <row r="336" spans="1:11" x14ac:dyDescent="0.2">
      <c r="A336" s="1" t="s">
        <v>486</v>
      </c>
      <c r="B336" s="1" t="s">
        <v>45</v>
      </c>
      <c r="C336" s="15">
        <v>42216</v>
      </c>
      <c r="D336" s="1" t="s">
        <v>23</v>
      </c>
      <c r="E336" s="1" t="s">
        <v>24</v>
      </c>
      <c r="F336" s="1" t="s">
        <v>776</v>
      </c>
      <c r="G336" s="1">
        <v>1890</v>
      </c>
      <c r="H336" s="1">
        <v>143022</v>
      </c>
      <c r="I336" s="1" t="s">
        <v>181</v>
      </c>
      <c r="J336" s="1">
        <v>16468</v>
      </c>
      <c r="K336" s="1">
        <v>109437</v>
      </c>
    </row>
    <row r="337" spans="1:11" x14ac:dyDescent="0.2">
      <c r="A337" s="1" t="s">
        <v>486</v>
      </c>
      <c r="B337" s="1" t="s">
        <v>45</v>
      </c>
      <c r="C337" s="15">
        <v>42216</v>
      </c>
      <c r="D337" s="1" t="s">
        <v>23</v>
      </c>
      <c r="E337" s="1" t="s">
        <v>27</v>
      </c>
      <c r="F337" s="1" t="s">
        <v>774</v>
      </c>
      <c r="G337" s="1">
        <v>42</v>
      </c>
      <c r="H337" s="1">
        <v>143040</v>
      </c>
      <c r="I337" s="1" t="s">
        <v>117</v>
      </c>
      <c r="J337" s="1">
        <v>16468</v>
      </c>
      <c r="K337" s="1">
        <v>110471</v>
      </c>
    </row>
    <row r="338" spans="1:11" x14ac:dyDescent="0.2">
      <c r="A338" s="1" t="s">
        <v>486</v>
      </c>
      <c r="B338" s="1" t="s">
        <v>45</v>
      </c>
      <c r="C338" s="15">
        <v>42216</v>
      </c>
      <c r="D338" s="1" t="s">
        <v>23</v>
      </c>
      <c r="E338" s="1" t="s">
        <v>24</v>
      </c>
      <c r="F338" s="1" t="s">
        <v>776</v>
      </c>
      <c r="G338" s="1">
        <v>1890</v>
      </c>
      <c r="H338" s="1">
        <v>142982</v>
      </c>
      <c r="I338" s="1" t="s">
        <v>181</v>
      </c>
      <c r="J338" s="1">
        <v>16468</v>
      </c>
      <c r="K338" s="1">
        <v>109439</v>
      </c>
    </row>
    <row r="339" spans="1:11" x14ac:dyDescent="0.2">
      <c r="A339" s="1" t="s">
        <v>486</v>
      </c>
      <c r="B339" s="1" t="s">
        <v>45</v>
      </c>
      <c r="C339" s="15">
        <v>42216</v>
      </c>
      <c r="D339" s="1" t="s">
        <v>23</v>
      </c>
      <c r="E339" s="1" t="s">
        <v>27</v>
      </c>
      <c r="F339" s="1" t="s">
        <v>774</v>
      </c>
      <c r="G339" s="1">
        <v>42</v>
      </c>
      <c r="H339" s="1">
        <v>142970</v>
      </c>
      <c r="I339" s="1" t="s">
        <v>119</v>
      </c>
      <c r="J339" s="1">
        <v>16468</v>
      </c>
      <c r="K339" s="1">
        <v>110473</v>
      </c>
    </row>
    <row r="340" spans="1:11" x14ac:dyDescent="0.2">
      <c r="A340" s="1" t="s">
        <v>486</v>
      </c>
      <c r="B340" s="1" t="s">
        <v>45</v>
      </c>
      <c r="C340" s="15">
        <v>42216</v>
      </c>
      <c r="D340" s="1" t="s">
        <v>23</v>
      </c>
      <c r="E340" s="1" t="s">
        <v>24</v>
      </c>
      <c r="F340" s="1" t="s">
        <v>776</v>
      </c>
      <c r="G340" s="1">
        <v>1890</v>
      </c>
      <c r="H340" s="1">
        <v>143039</v>
      </c>
      <c r="I340" s="1" t="s">
        <v>181</v>
      </c>
      <c r="J340" s="1">
        <v>16468</v>
      </c>
      <c r="K340" s="1">
        <v>109445</v>
      </c>
    </row>
    <row r="341" spans="1:11" x14ac:dyDescent="0.2">
      <c r="A341" s="1" t="s">
        <v>486</v>
      </c>
      <c r="B341" s="1" t="s">
        <v>45</v>
      </c>
      <c r="C341" s="15">
        <v>42216</v>
      </c>
      <c r="D341" s="1" t="s">
        <v>23</v>
      </c>
      <c r="E341" s="1" t="s">
        <v>27</v>
      </c>
      <c r="F341" s="1" t="s">
        <v>774</v>
      </c>
      <c r="G341" s="1">
        <v>42</v>
      </c>
      <c r="H341" s="1">
        <v>142975</v>
      </c>
      <c r="I341" s="1" t="s">
        <v>120</v>
      </c>
      <c r="J341" s="1">
        <v>16468</v>
      </c>
      <c r="K341" s="1">
        <v>110475</v>
      </c>
    </row>
    <row r="342" spans="1:11" x14ac:dyDescent="0.2">
      <c r="A342" s="1" t="s">
        <v>486</v>
      </c>
      <c r="B342" s="1" t="s">
        <v>45</v>
      </c>
      <c r="C342" s="15">
        <v>42216</v>
      </c>
      <c r="D342" s="1" t="s">
        <v>23</v>
      </c>
      <c r="E342" s="1" t="s">
        <v>24</v>
      </c>
      <c r="F342" s="1" t="s">
        <v>776</v>
      </c>
      <c r="G342" s="1">
        <v>1500</v>
      </c>
      <c r="H342" s="1">
        <v>143028</v>
      </c>
      <c r="I342" s="1" t="s">
        <v>180</v>
      </c>
      <c r="J342" s="1">
        <v>16468</v>
      </c>
      <c r="K342" s="1">
        <v>109447</v>
      </c>
    </row>
    <row r="343" spans="1:11" x14ac:dyDescent="0.2">
      <c r="A343" s="1" t="s">
        <v>486</v>
      </c>
      <c r="B343" s="1" t="s">
        <v>45</v>
      </c>
      <c r="C343" s="15">
        <v>42216</v>
      </c>
      <c r="D343" s="1" t="s">
        <v>23</v>
      </c>
      <c r="E343" s="1" t="s">
        <v>27</v>
      </c>
      <c r="F343" s="1" t="s">
        <v>774</v>
      </c>
      <c r="G343" s="1">
        <v>42</v>
      </c>
      <c r="H343" s="1">
        <v>143031</v>
      </c>
      <c r="I343" s="1" t="s">
        <v>122</v>
      </c>
      <c r="J343" s="1">
        <v>16468</v>
      </c>
      <c r="K343" s="1">
        <v>110477</v>
      </c>
    </row>
    <row r="344" spans="1:11" x14ac:dyDescent="0.2">
      <c r="A344" s="1" t="s">
        <v>486</v>
      </c>
      <c r="B344" s="1" t="s">
        <v>45</v>
      </c>
      <c r="C344" s="15">
        <v>42216</v>
      </c>
      <c r="D344" s="1" t="s">
        <v>23</v>
      </c>
      <c r="E344" s="1" t="s">
        <v>24</v>
      </c>
      <c r="F344" s="1" t="s">
        <v>776</v>
      </c>
      <c r="G344" s="1">
        <v>1890</v>
      </c>
      <c r="H344" s="1">
        <v>143038</v>
      </c>
      <c r="I344" s="1" t="s">
        <v>181</v>
      </c>
      <c r="J344" s="1">
        <v>16468</v>
      </c>
      <c r="K344" s="1">
        <v>109449</v>
      </c>
    </row>
    <row r="345" spans="1:11" x14ac:dyDescent="0.2">
      <c r="A345" s="1" t="s">
        <v>486</v>
      </c>
      <c r="B345" s="1" t="s">
        <v>45</v>
      </c>
      <c r="C345" s="15">
        <v>42216</v>
      </c>
      <c r="D345" s="1" t="s">
        <v>23</v>
      </c>
      <c r="E345" s="1" t="s">
        <v>27</v>
      </c>
      <c r="F345" s="1" t="s">
        <v>774</v>
      </c>
      <c r="G345" s="1">
        <v>42</v>
      </c>
      <c r="H345" s="1">
        <v>143036</v>
      </c>
      <c r="I345" s="1" t="s">
        <v>123</v>
      </c>
      <c r="J345" s="1">
        <v>16468</v>
      </c>
      <c r="K345" s="1">
        <v>110479</v>
      </c>
    </row>
    <row r="346" spans="1:11" x14ac:dyDescent="0.2">
      <c r="A346" s="1" t="s">
        <v>486</v>
      </c>
      <c r="B346" s="1" t="s">
        <v>45</v>
      </c>
      <c r="C346" s="15">
        <v>42216</v>
      </c>
      <c r="D346" s="1" t="s">
        <v>23</v>
      </c>
      <c r="E346" s="1" t="s">
        <v>24</v>
      </c>
      <c r="F346" s="1" t="s">
        <v>776</v>
      </c>
      <c r="G346" s="1">
        <v>2100</v>
      </c>
      <c r="H346" s="1">
        <v>142997</v>
      </c>
      <c r="I346" s="1" t="s">
        <v>181</v>
      </c>
      <c r="J346" s="1">
        <v>16468</v>
      </c>
      <c r="K346" s="1">
        <v>109453</v>
      </c>
    </row>
    <row r="347" spans="1:11" x14ac:dyDescent="0.2">
      <c r="A347" s="1" t="s">
        <v>486</v>
      </c>
      <c r="B347" s="1" t="s">
        <v>45</v>
      </c>
      <c r="C347" s="15">
        <v>42216</v>
      </c>
      <c r="D347" s="1" t="s">
        <v>23</v>
      </c>
      <c r="E347" s="1" t="s">
        <v>27</v>
      </c>
      <c r="F347" s="1" t="s">
        <v>774</v>
      </c>
      <c r="G347" s="1">
        <v>42</v>
      </c>
      <c r="H347" s="1">
        <v>142968</v>
      </c>
      <c r="I347" s="1" t="s">
        <v>124</v>
      </c>
      <c r="J347" s="1">
        <v>16468</v>
      </c>
      <c r="K347" s="1">
        <v>110481</v>
      </c>
    </row>
    <row r="348" spans="1:11" x14ac:dyDescent="0.2">
      <c r="A348" s="1" t="s">
        <v>486</v>
      </c>
      <c r="B348" s="1" t="s">
        <v>45</v>
      </c>
      <c r="C348" s="15">
        <v>42216</v>
      </c>
      <c r="D348" s="1" t="s">
        <v>23</v>
      </c>
      <c r="E348" s="1" t="s">
        <v>27</v>
      </c>
      <c r="F348" s="1" t="s">
        <v>774</v>
      </c>
      <c r="G348" s="1">
        <v>356.2</v>
      </c>
      <c r="H348" s="1">
        <v>142982</v>
      </c>
      <c r="I348" s="1" t="s">
        <v>57</v>
      </c>
      <c r="J348" s="1">
        <v>16468</v>
      </c>
      <c r="K348" s="1">
        <v>109314</v>
      </c>
    </row>
    <row r="349" spans="1:11" x14ac:dyDescent="0.2">
      <c r="A349" s="1" t="s">
        <v>486</v>
      </c>
      <c r="B349" s="1" t="s">
        <v>45</v>
      </c>
      <c r="C349" s="15">
        <v>42216</v>
      </c>
      <c r="D349" s="1" t="s">
        <v>23</v>
      </c>
      <c r="E349" s="1" t="s">
        <v>24</v>
      </c>
      <c r="F349" s="1" t="s">
        <v>776</v>
      </c>
      <c r="G349" s="1">
        <v>2940</v>
      </c>
      <c r="H349" s="1">
        <v>142971</v>
      </c>
      <c r="I349" s="1" t="s">
        <v>181</v>
      </c>
      <c r="J349" s="1">
        <v>16468</v>
      </c>
      <c r="K349" s="1">
        <v>109415</v>
      </c>
    </row>
    <row r="350" spans="1:11" x14ac:dyDescent="0.2">
      <c r="A350" s="1" t="s">
        <v>486</v>
      </c>
      <c r="B350" s="1" t="s">
        <v>45</v>
      </c>
      <c r="C350" s="15">
        <v>42216</v>
      </c>
      <c r="D350" s="1" t="s">
        <v>23</v>
      </c>
      <c r="E350" s="1" t="s">
        <v>27</v>
      </c>
      <c r="F350" s="1" t="s">
        <v>774</v>
      </c>
      <c r="G350" s="1">
        <v>461.2</v>
      </c>
      <c r="H350" s="1">
        <v>143034</v>
      </c>
      <c r="I350" s="1" t="s">
        <v>59</v>
      </c>
      <c r="J350" s="1">
        <v>16468</v>
      </c>
      <c r="K350" s="1">
        <v>109316</v>
      </c>
    </row>
    <row r="351" spans="1:11" x14ac:dyDescent="0.2">
      <c r="A351" s="1" t="s">
        <v>486</v>
      </c>
      <c r="B351" s="1" t="s">
        <v>45</v>
      </c>
      <c r="C351" s="15">
        <v>42216</v>
      </c>
      <c r="D351" s="1" t="s">
        <v>23</v>
      </c>
      <c r="E351" s="1" t="s">
        <v>26</v>
      </c>
      <c r="F351" s="1" t="s">
        <v>773</v>
      </c>
      <c r="G351" s="1">
        <v>103.25</v>
      </c>
      <c r="H351" s="1">
        <v>143038</v>
      </c>
      <c r="I351" s="1" t="s">
        <v>446</v>
      </c>
      <c r="J351" s="1">
        <v>16468</v>
      </c>
      <c r="K351" s="1">
        <v>109375</v>
      </c>
    </row>
    <row r="352" spans="1:11" x14ac:dyDescent="0.2">
      <c r="A352" s="1" t="s">
        <v>486</v>
      </c>
      <c r="B352" s="1" t="s">
        <v>45</v>
      </c>
      <c r="C352" s="15">
        <v>42216</v>
      </c>
      <c r="D352" s="1" t="s">
        <v>23</v>
      </c>
      <c r="E352" s="1" t="s">
        <v>27</v>
      </c>
      <c r="F352" s="1" t="s">
        <v>774</v>
      </c>
      <c r="G352" s="1">
        <v>521.20000000000005</v>
      </c>
      <c r="H352" s="1">
        <v>142969</v>
      </c>
      <c r="I352" s="1" t="s">
        <v>61</v>
      </c>
      <c r="J352" s="1">
        <v>16468</v>
      </c>
      <c r="K352" s="1">
        <v>109318</v>
      </c>
    </row>
    <row r="353" spans="1:11" x14ac:dyDescent="0.2">
      <c r="A353" s="1" t="s">
        <v>486</v>
      </c>
      <c r="B353" s="1" t="s">
        <v>45</v>
      </c>
      <c r="C353" s="15">
        <v>42216</v>
      </c>
      <c r="D353" s="1" t="s">
        <v>23</v>
      </c>
      <c r="E353" s="1" t="s">
        <v>26</v>
      </c>
      <c r="F353" s="1" t="s">
        <v>773</v>
      </c>
      <c r="G353" s="1">
        <v>71.87</v>
      </c>
      <c r="H353" s="1">
        <v>143027</v>
      </c>
      <c r="I353" s="1" t="s">
        <v>447</v>
      </c>
      <c r="J353" s="1">
        <v>16468</v>
      </c>
      <c r="K353" s="1">
        <v>109377</v>
      </c>
    </row>
    <row r="354" spans="1:11" x14ac:dyDescent="0.2">
      <c r="A354" s="1" t="s">
        <v>486</v>
      </c>
      <c r="B354" s="1" t="s">
        <v>45</v>
      </c>
      <c r="C354" s="15">
        <v>42216</v>
      </c>
      <c r="D354" s="1" t="s">
        <v>23</v>
      </c>
      <c r="E354" s="1" t="s">
        <v>27</v>
      </c>
      <c r="F354" s="1" t="s">
        <v>774</v>
      </c>
      <c r="G354" s="1">
        <v>388.2</v>
      </c>
      <c r="H354" s="1">
        <v>142979</v>
      </c>
      <c r="I354" s="1" t="s">
        <v>63</v>
      </c>
      <c r="J354" s="1">
        <v>16468</v>
      </c>
      <c r="K354" s="1">
        <v>109320</v>
      </c>
    </row>
    <row r="355" spans="1:11" x14ac:dyDescent="0.2">
      <c r="A355" s="1" t="s">
        <v>486</v>
      </c>
      <c r="B355" s="1" t="s">
        <v>45</v>
      </c>
      <c r="C355" s="15">
        <v>42216</v>
      </c>
      <c r="D355" s="1" t="s">
        <v>23</v>
      </c>
      <c r="E355" s="1" t="s">
        <v>26</v>
      </c>
      <c r="F355" s="1" t="s">
        <v>773</v>
      </c>
      <c r="G355" s="1">
        <v>160.94</v>
      </c>
      <c r="H355" s="1">
        <v>142977</v>
      </c>
      <c r="I355" s="1" t="s">
        <v>449</v>
      </c>
      <c r="J355" s="1">
        <v>16468</v>
      </c>
      <c r="K355" s="1">
        <v>109379</v>
      </c>
    </row>
    <row r="356" spans="1:11" x14ac:dyDescent="0.2">
      <c r="A356" s="1" t="s">
        <v>486</v>
      </c>
      <c r="B356" s="1" t="s">
        <v>45</v>
      </c>
      <c r="C356" s="15">
        <v>42216</v>
      </c>
      <c r="D356" s="1" t="s">
        <v>23</v>
      </c>
      <c r="E356" s="1" t="s">
        <v>27</v>
      </c>
      <c r="F356" s="1" t="s">
        <v>774</v>
      </c>
      <c r="G356" s="1">
        <v>489.2</v>
      </c>
      <c r="H356" s="1">
        <v>143021</v>
      </c>
      <c r="I356" s="1" t="s">
        <v>65</v>
      </c>
      <c r="J356" s="1">
        <v>16468</v>
      </c>
      <c r="K356" s="1">
        <v>109322</v>
      </c>
    </row>
    <row r="357" spans="1:11" x14ac:dyDescent="0.2">
      <c r="A357" s="1" t="s">
        <v>486</v>
      </c>
      <c r="B357" s="1" t="s">
        <v>45</v>
      </c>
      <c r="C357" s="15">
        <v>42216</v>
      </c>
      <c r="D357" s="1" t="s">
        <v>23</v>
      </c>
      <c r="E357" s="1" t="s">
        <v>24</v>
      </c>
      <c r="F357" s="1" t="s">
        <v>776</v>
      </c>
      <c r="G357" s="1">
        <v>1995</v>
      </c>
      <c r="H357" s="1">
        <v>142994</v>
      </c>
      <c r="I357" s="1" t="s">
        <v>205</v>
      </c>
      <c r="J357" s="1">
        <v>16468</v>
      </c>
      <c r="K357" s="1">
        <v>109423</v>
      </c>
    </row>
    <row r="358" spans="1:11" x14ac:dyDescent="0.2">
      <c r="A358" s="1" t="s">
        <v>486</v>
      </c>
      <c r="B358" s="1" t="s">
        <v>45</v>
      </c>
      <c r="C358" s="15">
        <v>42216</v>
      </c>
      <c r="D358" s="1" t="s">
        <v>23</v>
      </c>
      <c r="E358" s="1" t="s">
        <v>27</v>
      </c>
      <c r="F358" s="1" t="s">
        <v>774</v>
      </c>
      <c r="G358" s="1">
        <v>979.2</v>
      </c>
      <c r="H358" s="1">
        <v>143038</v>
      </c>
      <c r="I358" s="1" t="s">
        <v>67</v>
      </c>
      <c r="J358" s="1">
        <v>16468</v>
      </c>
      <c r="K358" s="1">
        <v>109324</v>
      </c>
    </row>
    <row r="359" spans="1:11" x14ac:dyDescent="0.2">
      <c r="A359" s="1" t="s">
        <v>486</v>
      </c>
      <c r="B359" s="1" t="s">
        <v>45</v>
      </c>
      <c r="C359" s="15">
        <v>42216</v>
      </c>
      <c r="D359" s="1" t="s">
        <v>23</v>
      </c>
      <c r="E359" s="1" t="s">
        <v>27</v>
      </c>
      <c r="F359" s="1" t="s">
        <v>774</v>
      </c>
      <c r="G359" s="1">
        <v>428.2</v>
      </c>
      <c r="H359" s="1">
        <v>143040</v>
      </c>
      <c r="I359" s="1" t="s">
        <v>69</v>
      </c>
      <c r="J359" s="1">
        <v>16468</v>
      </c>
      <c r="K359" s="1">
        <v>109326</v>
      </c>
    </row>
    <row r="360" spans="1:11" x14ac:dyDescent="0.2">
      <c r="A360" s="1" t="s">
        <v>486</v>
      </c>
      <c r="B360" s="1" t="s">
        <v>45</v>
      </c>
      <c r="C360" s="15">
        <v>42216</v>
      </c>
      <c r="D360" s="1" t="s">
        <v>23</v>
      </c>
      <c r="E360" s="1" t="s">
        <v>24</v>
      </c>
      <c r="F360" s="1" t="s">
        <v>776</v>
      </c>
      <c r="G360" s="1">
        <v>1500</v>
      </c>
      <c r="H360" s="1">
        <v>143025</v>
      </c>
      <c r="I360" s="1" t="s">
        <v>180</v>
      </c>
      <c r="J360" s="1">
        <v>16468</v>
      </c>
      <c r="K360" s="1">
        <v>109434</v>
      </c>
    </row>
    <row r="361" spans="1:11" x14ac:dyDescent="0.2">
      <c r="A361" s="1" t="s">
        <v>486</v>
      </c>
      <c r="B361" s="1" t="s">
        <v>45</v>
      </c>
      <c r="C361" s="15">
        <v>42216</v>
      </c>
      <c r="D361" s="1" t="s">
        <v>23</v>
      </c>
      <c r="E361" s="1" t="s">
        <v>27</v>
      </c>
      <c r="F361" s="1" t="s">
        <v>774</v>
      </c>
      <c r="G361" s="1">
        <v>653.20000000000005</v>
      </c>
      <c r="H361" s="1">
        <v>142970</v>
      </c>
      <c r="I361" s="1" t="s">
        <v>71</v>
      </c>
      <c r="J361" s="1">
        <v>16468</v>
      </c>
      <c r="K361" s="1">
        <v>109330</v>
      </c>
    </row>
    <row r="362" spans="1:11" x14ac:dyDescent="0.2">
      <c r="A362" s="1" t="s">
        <v>486</v>
      </c>
      <c r="B362" s="1" t="s">
        <v>45</v>
      </c>
      <c r="C362" s="15">
        <v>42216</v>
      </c>
      <c r="D362" s="1" t="s">
        <v>23</v>
      </c>
      <c r="E362" s="1" t="s">
        <v>24</v>
      </c>
      <c r="F362" s="1" t="s">
        <v>776</v>
      </c>
      <c r="G362" s="1">
        <v>1500</v>
      </c>
      <c r="H362" s="1">
        <v>143027</v>
      </c>
      <c r="I362" s="1" t="s">
        <v>180</v>
      </c>
      <c r="J362" s="1">
        <v>16468</v>
      </c>
      <c r="K362" s="1">
        <v>109420</v>
      </c>
    </row>
    <row r="363" spans="1:11" x14ac:dyDescent="0.2">
      <c r="A363" s="1" t="s">
        <v>486</v>
      </c>
      <c r="B363" s="1" t="s">
        <v>45</v>
      </c>
      <c r="C363" s="15">
        <v>42216</v>
      </c>
      <c r="D363" s="1" t="s">
        <v>23</v>
      </c>
      <c r="E363" s="1" t="s">
        <v>27</v>
      </c>
      <c r="F363" s="1" t="s">
        <v>774</v>
      </c>
      <c r="G363" s="1">
        <v>287.2</v>
      </c>
      <c r="H363" s="1">
        <v>143031</v>
      </c>
      <c r="I363" s="1" t="s">
        <v>73</v>
      </c>
      <c r="J363" s="1">
        <v>16468</v>
      </c>
      <c r="K363" s="1">
        <v>109332</v>
      </c>
    </row>
    <row r="364" spans="1:11" x14ac:dyDescent="0.2">
      <c r="A364" s="1" t="s">
        <v>486</v>
      </c>
      <c r="B364" s="1" t="s">
        <v>45</v>
      </c>
      <c r="C364" s="15">
        <v>42216</v>
      </c>
      <c r="D364" s="1" t="s">
        <v>23</v>
      </c>
      <c r="E364" s="1" t="s">
        <v>24</v>
      </c>
      <c r="F364" s="1" t="s">
        <v>776</v>
      </c>
      <c r="G364" s="1">
        <v>1890</v>
      </c>
      <c r="H364" s="1">
        <v>142981</v>
      </c>
      <c r="I364" s="1" t="s">
        <v>181</v>
      </c>
      <c r="J364" s="1">
        <v>16468</v>
      </c>
      <c r="K364" s="1">
        <v>109454</v>
      </c>
    </row>
    <row r="365" spans="1:11" x14ac:dyDescent="0.2">
      <c r="A365" s="1" t="s">
        <v>486</v>
      </c>
      <c r="B365" s="1" t="s">
        <v>45</v>
      </c>
      <c r="C365" s="15">
        <v>42216</v>
      </c>
      <c r="D365" s="1" t="s">
        <v>23</v>
      </c>
      <c r="E365" s="1" t="s">
        <v>27</v>
      </c>
      <c r="F365" s="1" t="s">
        <v>774</v>
      </c>
      <c r="G365" s="1">
        <v>430.2</v>
      </c>
      <c r="H365" s="1">
        <v>142968</v>
      </c>
      <c r="I365" s="1" t="s">
        <v>75</v>
      </c>
      <c r="J365" s="1">
        <v>16468</v>
      </c>
      <c r="K365" s="1">
        <v>109336</v>
      </c>
    </row>
    <row r="366" spans="1:11" x14ac:dyDescent="0.2">
      <c r="A366" s="1" t="s">
        <v>486</v>
      </c>
      <c r="B366" s="1" t="s">
        <v>45</v>
      </c>
      <c r="C366" s="15">
        <v>42216</v>
      </c>
      <c r="D366" s="1" t="s">
        <v>23</v>
      </c>
      <c r="E366" s="1" t="s">
        <v>24</v>
      </c>
      <c r="F366" s="1" t="s">
        <v>776</v>
      </c>
      <c r="G366" s="1">
        <v>3932.5</v>
      </c>
      <c r="H366" s="1">
        <v>142974</v>
      </c>
      <c r="I366" s="1" t="s">
        <v>189</v>
      </c>
      <c r="J366" s="1">
        <v>16468</v>
      </c>
      <c r="K366" s="1">
        <v>109414</v>
      </c>
    </row>
    <row r="367" spans="1:11" x14ac:dyDescent="0.2">
      <c r="A367" s="1" t="s">
        <v>486</v>
      </c>
      <c r="B367" s="1" t="s">
        <v>45</v>
      </c>
      <c r="C367" s="15">
        <v>42216</v>
      </c>
      <c r="D367" s="1" t="s">
        <v>23</v>
      </c>
      <c r="E367" s="1" t="s">
        <v>27</v>
      </c>
      <c r="F367" s="1" t="s">
        <v>774</v>
      </c>
      <c r="G367" s="1">
        <v>1035.7</v>
      </c>
      <c r="H367" s="1">
        <v>143041</v>
      </c>
      <c r="I367" s="1" t="s">
        <v>77</v>
      </c>
      <c r="J367" s="1">
        <v>16468</v>
      </c>
      <c r="K367" s="1">
        <v>109338</v>
      </c>
    </row>
    <row r="368" spans="1:11" x14ac:dyDescent="0.2">
      <c r="A368" s="1" t="s">
        <v>486</v>
      </c>
      <c r="B368" s="1" t="s">
        <v>45</v>
      </c>
      <c r="C368" s="15">
        <v>42216</v>
      </c>
      <c r="D368" s="1" t="s">
        <v>23</v>
      </c>
      <c r="E368" s="1" t="s">
        <v>24</v>
      </c>
      <c r="F368" s="1" t="s">
        <v>776</v>
      </c>
      <c r="G368" s="1">
        <v>1995</v>
      </c>
      <c r="H368" s="1">
        <v>143026</v>
      </c>
      <c r="I368" s="1" t="s">
        <v>181</v>
      </c>
      <c r="J368" s="1">
        <v>16468</v>
      </c>
      <c r="K368" s="1">
        <v>109417</v>
      </c>
    </row>
    <row r="369" spans="1:11" x14ac:dyDescent="0.2">
      <c r="A369" s="1" t="s">
        <v>486</v>
      </c>
      <c r="B369" s="1" t="s">
        <v>45</v>
      </c>
      <c r="C369" s="15">
        <v>42216</v>
      </c>
      <c r="D369" s="1" t="s">
        <v>23</v>
      </c>
      <c r="E369" s="1" t="s">
        <v>27</v>
      </c>
      <c r="F369" s="1" t="s">
        <v>774</v>
      </c>
      <c r="G369" s="1">
        <v>652.20000000000005</v>
      </c>
      <c r="H369" s="1">
        <v>143044</v>
      </c>
      <c r="I369" s="1" t="s">
        <v>79</v>
      </c>
      <c r="J369" s="1">
        <v>16468</v>
      </c>
      <c r="K369" s="1">
        <v>109340</v>
      </c>
    </row>
    <row r="370" spans="1:11" x14ac:dyDescent="0.2">
      <c r="A370" s="1" t="s">
        <v>486</v>
      </c>
      <c r="B370" s="1" t="s">
        <v>45</v>
      </c>
      <c r="C370" s="15">
        <v>42216</v>
      </c>
      <c r="D370" s="1" t="s">
        <v>23</v>
      </c>
      <c r="E370" s="1" t="s">
        <v>24</v>
      </c>
      <c r="F370" s="1" t="s">
        <v>776</v>
      </c>
      <c r="G370" s="1">
        <v>1890</v>
      </c>
      <c r="H370" s="1">
        <v>143032</v>
      </c>
      <c r="I370" s="1" t="s">
        <v>181</v>
      </c>
      <c r="J370" s="1">
        <v>16468</v>
      </c>
      <c r="K370" s="1">
        <v>109419</v>
      </c>
    </row>
    <row r="371" spans="1:11" x14ac:dyDescent="0.2">
      <c r="A371" s="1" t="s">
        <v>486</v>
      </c>
      <c r="B371" s="1" t="s">
        <v>45</v>
      </c>
      <c r="C371" s="15">
        <v>42216</v>
      </c>
      <c r="D371" s="1" t="s">
        <v>23</v>
      </c>
      <c r="E371" s="1" t="s">
        <v>27</v>
      </c>
      <c r="F371" s="1" t="s">
        <v>774</v>
      </c>
      <c r="G371" s="1">
        <v>516</v>
      </c>
      <c r="H371" s="1">
        <v>143026</v>
      </c>
      <c r="I371" s="1" t="s">
        <v>81</v>
      </c>
      <c r="J371" s="1">
        <v>16468</v>
      </c>
      <c r="K371" s="1">
        <v>109342</v>
      </c>
    </row>
    <row r="372" spans="1:11" x14ac:dyDescent="0.2">
      <c r="A372" s="1" t="s">
        <v>486</v>
      </c>
      <c r="B372" s="1" t="s">
        <v>45</v>
      </c>
      <c r="C372" s="15">
        <v>42216</v>
      </c>
      <c r="D372" s="1" t="s">
        <v>23</v>
      </c>
      <c r="E372" s="1" t="s">
        <v>27</v>
      </c>
      <c r="F372" s="1" t="s">
        <v>774</v>
      </c>
      <c r="G372" s="1">
        <v>713.2</v>
      </c>
      <c r="H372" s="1">
        <v>143030</v>
      </c>
      <c r="I372" s="1" t="s">
        <v>44</v>
      </c>
      <c r="J372" s="1">
        <v>16468</v>
      </c>
      <c r="K372" s="1">
        <v>108717</v>
      </c>
    </row>
    <row r="373" spans="1:11" x14ac:dyDescent="0.2">
      <c r="A373" s="1" t="s">
        <v>486</v>
      </c>
      <c r="B373" s="1" t="s">
        <v>45</v>
      </c>
      <c r="C373" s="15">
        <v>42216</v>
      </c>
      <c r="D373" s="1" t="s">
        <v>23</v>
      </c>
      <c r="E373" s="1" t="s">
        <v>27</v>
      </c>
      <c r="F373" s="1" t="s">
        <v>774</v>
      </c>
      <c r="G373" s="1">
        <v>658.2</v>
      </c>
      <c r="H373" s="1">
        <v>142976</v>
      </c>
      <c r="I373" s="1" t="s">
        <v>83</v>
      </c>
      <c r="J373" s="1">
        <v>16468</v>
      </c>
      <c r="K373" s="1">
        <v>109347</v>
      </c>
    </row>
    <row r="374" spans="1:11" x14ac:dyDescent="0.2">
      <c r="A374" s="1" t="s">
        <v>486</v>
      </c>
      <c r="B374" s="1" t="s">
        <v>45</v>
      </c>
      <c r="C374" s="15">
        <v>42216</v>
      </c>
      <c r="D374" s="1" t="s">
        <v>23</v>
      </c>
      <c r="E374" s="1" t="s">
        <v>24</v>
      </c>
      <c r="F374" s="1" t="s">
        <v>776</v>
      </c>
      <c r="G374" s="1">
        <v>2100</v>
      </c>
      <c r="H374" s="1">
        <v>142955</v>
      </c>
      <c r="I374" s="1" t="s">
        <v>181</v>
      </c>
      <c r="J374" s="1">
        <v>16468</v>
      </c>
      <c r="K374" s="1">
        <v>108719</v>
      </c>
    </row>
    <row r="375" spans="1:11" x14ac:dyDescent="0.2">
      <c r="A375" s="1" t="s">
        <v>486</v>
      </c>
      <c r="B375" s="1" t="s">
        <v>45</v>
      </c>
      <c r="C375" s="15">
        <v>42216</v>
      </c>
      <c r="D375" s="1" t="s">
        <v>23</v>
      </c>
      <c r="E375" s="1" t="s">
        <v>27</v>
      </c>
      <c r="F375" s="1" t="s">
        <v>774</v>
      </c>
      <c r="G375" s="1">
        <v>277.2</v>
      </c>
      <c r="H375" s="1">
        <v>143037</v>
      </c>
      <c r="I375" s="1" t="s">
        <v>85</v>
      </c>
      <c r="J375" s="1">
        <v>16468</v>
      </c>
      <c r="K375" s="1">
        <v>109349</v>
      </c>
    </row>
    <row r="376" spans="1:11" x14ac:dyDescent="0.2">
      <c r="A376" s="1" t="s">
        <v>486</v>
      </c>
      <c r="B376" s="1" t="s">
        <v>45</v>
      </c>
      <c r="C376" s="15">
        <v>42216</v>
      </c>
      <c r="D376" s="1" t="s">
        <v>23</v>
      </c>
      <c r="E376" s="1" t="s">
        <v>27</v>
      </c>
      <c r="F376" s="1" t="s">
        <v>774</v>
      </c>
      <c r="G376" s="1">
        <v>42</v>
      </c>
      <c r="H376" s="1">
        <v>143043</v>
      </c>
      <c r="I376" s="1" t="s">
        <v>48</v>
      </c>
      <c r="J376" s="1">
        <v>16468</v>
      </c>
      <c r="K376" s="1">
        <v>108721</v>
      </c>
    </row>
    <row r="377" spans="1:11" x14ac:dyDescent="0.2">
      <c r="A377" s="1" t="s">
        <v>486</v>
      </c>
      <c r="B377" s="1" t="s">
        <v>45</v>
      </c>
      <c r="C377" s="15">
        <v>42216</v>
      </c>
      <c r="D377" s="1" t="s">
        <v>23</v>
      </c>
      <c r="E377" s="1" t="s">
        <v>27</v>
      </c>
      <c r="F377" s="1" t="s">
        <v>774</v>
      </c>
      <c r="G377" s="1">
        <v>737.2</v>
      </c>
      <c r="H377" s="1">
        <v>143042</v>
      </c>
      <c r="I377" s="1" t="s">
        <v>87</v>
      </c>
      <c r="J377" s="1">
        <v>16468</v>
      </c>
      <c r="K377" s="1">
        <v>109351</v>
      </c>
    </row>
    <row r="378" spans="1:11" x14ac:dyDescent="0.2">
      <c r="A378" s="1" t="s">
        <v>486</v>
      </c>
      <c r="B378" s="1" t="s">
        <v>45</v>
      </c>
      <c r="C378" s="15">
        <v>42216</v>
      </c>
      <c r="D378" s="1" t="s">
        <v>23</v>
      </c>
      <c r="E378" s="1" t="s">
        <v>27</v>
      </c>
      <c r="F378" s="1" t="s">
        <v>774</v>
      </c>
      <c r="G378" s="1">
        <v>529.20000000000005</v>
      </c>
      <c r="H378" s="1">
        <v>142967</v>
      </c>
      <c r="I378" s="1" t="s">
        <v>49</v>
      </c>
      <c r="J378" s="1">
        <v>16468</v>
      </c>
      <c r="K378" s="1">
        <v>108723</v>
      </c>
    </row>
    <row r="379" spans="1:11" x14ac:dyDescent="0.2">
      <c r="A379" s="1" t="s">
        <v>486</v>
      </c>
      <c r="B379" s="1" t="s">
        <v>45</v>
      </c>
      <c r="C379" s="15">
        <v>42216</v>
      </c>
      <c r="D379" s="1" t="s">
        <v>23</v>
      </c>
      <c r="E379" s="1" t="s">
        <v>27</v>
      </c>
      <c r="F379" s="1" t="s">
        <v>774</v>
      </c>
      <c r="G379" s="1">
        <v>206.1</v>
      </c>
      <c r="H379" s="1">
        <v>142972</v>
      </c>
      <c r="I379" s="1" t="s">
        <v>88</v>
      </c>
      <c r="J379" s="1">
        <v>16468</v>
      </c>
      <c r="K379" s="1">
        <v>109355</v>
      </c>
    </row>
    <row r="380" spans="1:11" x14ac:dyDescent="0.2">
      <c r="A380" s="1" t="s">
        <v>486</v>
      </c>
      <c r="B380" s="1" t="s">
        <v>45</v>
      </c>
      <c r="C380" s="15">
        <v>42216</v>
      </c>
      <c r="D380" s="1" t="s">
        <v>23</v>
      </c>
      <c r="E380" s="1" t="s">
        <v>27</v>
      </c>
      <c r="F380" s="1" t="s">
        <v>774</v>
      </c>
      <c r="G380" s="1">
        <v>42</v>
      </c>
      <c r="H380" s="1">
        <v>141429</v>
      </c>
      <c r="I380" s="1" t="s">
        <v>777</v>
      </c>
      <c r="J380" s="1">
        <v>16468</v>
      </c>
      <c r="K380" s="1">
        <v>108725</v>
      </c>
    </row>
    <row r="381" spans="1:11" x14ac:dyDescent="0.2">
      <c r="A381" s="1" t="s">
        <v>486</v>
      </c>
      <c r="B381" s="1" t="s">
        <v>45</v>
      </c>
      <c r="C381" s="15">
        <v>42216</v>
      </c>
      <c r="D381" s="1" t="s">
        <v>23</v>
      </c>
      <c r="E381" s="1" t="s">
        <v>27</v>
      </c>
      <c r="F381" s="1" t="s">
        <v>774</v>
      </c>
      <c r="G381" s="1">
        <v>802.2</v>
      </c>
      <c r="H381" s="1">
        <v>143022</v>
      </c>
      <c r="I381" s="1" t="s">
        <v>90</v>
      </c>
      <c r="J381" s="1">
        <v>16468</v>
      </c>
      <c r="K381" s="1">
        <v>109357</v>
      </c>
    </row>
    <row r="382" spans="1:11" x14ac:dyDescent="0.2">
      <c r="A382" s="1" t="s">
        <v>486</v>
      </c>
      <c r="B382" s="1" t="s">
        <v>45</v>
      </c>
      <c r="C382" s="15">
        <v>42216</v>
      </c>
      <c r="D382" s="1" t="s">
        <v>23</v>
      </c>
      <c r="E382" s="1" t="s">
        <v>27</v>
      </c>
      <c r="F382" s="1" t="s">
        <v>774</v>
      </c>
      <c r="G382" s="1">
        <v>42</v>
      </c>
      <c r="H382" s="1">
        <v>142978</v>
      </c>
      <c r="I382" s="1" t="s">
        <v>52</v>
      </c>
      <c r="J382" s="1">
        <v>16468</v>
      </c>
      <c r="K382" s="1">
        <v>108731</v>
      </c>
    </row>
    <row r="383" spans="1:11" x14ac:dyDescent="0.2">
      <c r="A383" s="1" t="s">
        <v>486</v>
      </c>
      <c r="B383" s="1" t="s">
        <v>45</v>
      </c>
      <c r="C383" s="15">
        <v>42216</v>
      </c>
      <c r="D383" s="1" t="s">
        <v>23</v>
      </c>
      <c r="E383" s="1" t="s">
        <v>27</v>
      </c>
      <c r="F383" s="1" t="s">
        <v>774</v>
      </c>
      <c r="G383" s="1">
        <v>302.2</v>
      </c>
      <c r="H383" s="1">
        <v>142963</v>
      </c>
      <c r="I383" s="1" t="s">
        <v>92</v>
      </c>
      <c r="J383" s="1">
        <v>16468</v>
      </c>
      <c r="K383" s="1">
        <v>109361</v>
      </c>
    </row>
    <row r="384" spans="1:11" x14ac:dyDescent="0.2">
      <c r="A384" s="1" t="s">
        <v>486</v>
      </c>
      <c r="B384" s="1" t="s">
        <v>45</v>
      </c>
      <c r="C384" s="15">
        <v>42216</v>
      </c>
      <c r="D384" s="1" t="s">
        <v>23</v>
      </c>
      <c r="E384" s="1" t="s">
        <v>24</v>
      </c>
      <c r="F384" s="1" t="s">
        <v>776</v>
      </c>
      <c r="G384" s="1">
        <v>1890</v>
      </c>
      <c r="H384" s="1">
        <v>142963</v>
      </c>
      <c r="I384" s="1" t="s">
        <v>181</v>
      </c>
      <c r="J384" s="1">
        <v>16468</v>
      </c>
      <c r="K384" s="1">
        <v>108729</v>
      </c>
    </row>
    <row r="385" spans="1:11" x14ac:dyDescent="0.2">
      <c r="A385" s="1" t="s">
        <v>486</v>
      </c>
      <c r="B385" s="1" t="s">
        <v>45</v>
      </c>
      <c r="C385" s="15">
        <v>42216</v>
      </c>
      <c r="D385" s="1" t="s">
        <v>23</v>
      </c>
      <c r="E385" s="1" t="s">
        <v>27</v>
      </c>
      <c r="F385" s="1" t="s">
        <v>774</v>
      </c>
      <c r="G385" s="1">
        <v>638.20000000000005</v>
      </c>
      <c r="H385" s="1">
        <v>143028</v>
      </c>
      <c r="I385" s="1" t="s">
        <v>96</v>
      </c>
      <c r="J385" s="1">
        <v>16468</v>
      </c>
      <c r="K385" s="1">
        <v>109367</v>
      </c>
    </row>
    <row r="386" spans="1:11" x14ac:dyDescent="0.2">
      <c r="A386" s="1" t="s">
        <v>486</v>
      </c>
      <c r="B386" s="1" t="s">
        <v>45</v>
      </c>
      <c r="C386" s="15">
        <v>42216</v>
      </c>
      <c r="D386" s="1" t="s">
        <v>23</v>
      </c>
      <c r="E386" s="1" t="s">
        <v>27</v>
      </c>
      <c r="F386" s="1" t="s">
        <v>774</v>
      </c>
      <c r="G386" s="1">
        <v>23</v>
      </c>
      <c r="H386" s="1">
        <v>143022</v>
      </c>
      <c r="I386" s="1" t="s">
        <v>142</v>
      </c>
      <c r="J386" s="1">
        <v>16468</v>
      </c>
      <c r="K386" s="1">
        <v>110503</v>
      </c>
    </row>
    <row r="387" spans="1:11" x14ac:dyDescent="0.2">
      <c r="A387" s="1" t="s">
        <v>486</v>
      </c>
      <c r="B387" s="1" t="s">
        <v>45</v>
      </c>
      <c r="C387" s="15">
        <v>42216</v>
      </c>
      <c r="D387" s="1" t="s">
        <v>23</v>
      </c>
      <c r="E387" s="1" t="s">
        <v>27</v>
      </c>
      <c r="F387" s="1" t="s">
        <v>774</v>
      </c>
      <c r="G387" s="1">
        <v>42</v>
      </c>
      <c r="H387" s="1">
        <v>142955</v>
      </c>
      <c r="I387" s="1" t="s">
        <v>143</v>
      </c>
      <c r="J387" s="1">
        <v>16468</v>
      </c>
      <c r="K387" s="1">
        <v>110505</v>
      </c>
    </row>
    <row r="388" spans="1:11" x14ac:dyDescent="0.2">
      <c r="A388" s="1" t="s">
        <v>486</v>
      </c>
      <c r="B388" s="1" t="s">
        <v>45</v>
      </c>
      <c r="C388" s="15">
        <v>42216</v>
      </c>
      <c r="D388" s="1" t="s">
        <v>23</v>
      </c>
      <c r="E388" s="1" t="s">
        <v>27</v>
      </c>
      <c r="F388" s="1" t="s">
        <v>774</v>
      </c>
      <c r="G388" s="1">
        <v>42</v>
      </c>
      <c r="H388" s="1">
        <v>142963</v>
      </c>
      <c r="I388" s="1" t="s">
        <v>145</v>
      </c>
      <c r="J388" s="1">
        <v>16468</v>
      </c>
      <c r="K388" s="1">
        <v>110507</v>
      </c>
    </row>
    <row r="389" spans="1:11" x14ac:dyDescent="0.2">
      <c r="A389" s="1" t="s">
        <v>486</v>
      </c>
      <c r="B389" s="1" t="s">
        <v>45</v>
      </c>
      <c r="C389" s="15">
        <v>42216</v>
      </c>
      <c r="D389" s="1" t="s">
        <v>23</v>
      </c>
      <c r="E389" s="1" t="s">
        <v>27</v>
      </c>
      <c r="F389" s="1" t="s">
        <v>774</v>
      </c>
      <c r="G389" s="1">
        <v>42</v>
      </c>
      <c r="H389" s="1">
        <v>143028</v>
      </c>
      <c r="I389" s="1" t="s">
        <v>147</v>
      </c>
      <c r="J389" s="1">
        <v>16468</v>
      </c>
      <c r="K389" s="1">
        <v>110509</v>
      </c>
    </row>
    <row r="390" spans="1:11" x14ac:dyDescent="0.2">
      <c r="A390" s="1" t="s">
        <v>486</v>
      </c>
      <c r="B390" s="1" t="s">
        <v>45</v>
      </c>
      <c r="C390" s="15">
        <v>42216</v>
      </c>
      <c r="D390" s="1" t="s">
        <v>23</v>
      </c>
      <c r="E390" s="1" t="s">
        <v>27</v>
      </c>
      <c r="F390" s="1" t="s">
        <v>774</v>
      </c>
      <c r="G390" s="1">
        <v>42</v>
      </c>
      <c r="H390" s="1">
        <v>142970</v>
      </c>
      <c r="I390" s="1" t="s">
        <v>148</v>
      </c>
      <c r="J390" s="1">
        <v>16468</v>
      </c>
      <c r="K390" s="1">
        <v>110511</v>
      </c>
    </row>
    <row r="391" spans="1:11" x14ac:dyDescent="0.2">
      <c r="A391" s="1" t="s">
        <v>486</v>
      </c>
      <c r="B391" s="1" t="s">
        <v>45</v>
      </c>
      <c r="C391" s="15">
        <v>42216</v>
      </c>
      <c r="D391" s="1" t="s">
        <v>23</v>
      </c>
      <c r="E391" s="1" t="s">
        <v>27</v>
      </c>
      <c r="F391" s="1" t="s">
        <v>774</v>
      </c>
      <c r="G391" s="1">
        <v>42</v>
      </c>
      <c r="H391" s="1">
        <v>142996</v>
      </c>
      <c r="I391" s="1" t="s">
        <v>150</v>
      </c>
      <c r="J391" s="1">
        <v>16468</v>
      </c>
      <c r="K391" s="1">
        <v>110513</v>
      </c>
    </row>
    <row r="392" spans="1:11" x14ac:dyDescent="0.2">
      <c r="A392" s="1" t="s">
        <v>486</v>
      </c>
      <c r="B392" s="1" t="s">
        <v>45</v>
      </c>
      <c r="C392" s="15">
        <v>42216</v>
      </c>
      <c r="D392" s="1" t="s">
        <v>23</v>
      </c>
      <c r="E392" s="1" t="s">
        <v>27</v>
      </c>
      <c r="F392" s="1" t="s">
        <v>774</v>
      </c>
      <c r="G392" s="1">
        <v>60</v>
      </c>
      <c r="H392" s="1">
        <v>0</v>
      </c>
      <c r="I392" s="1" t="s">
        <v>775</v>
      </c>
      <c r="J392" s="1">
        <v>16468</v>
      </c>
      <c r="K392" s="1">
        <v>110515</v>
      </c>
    </row>
    <row r="393" spans="1:11" x14ac:dyDescent="0.2">
      <c r="A393" s="1" t="s">
        <v>486</v>
      </c>
      <c r="B393" s="1" t="s">
        <v>45</v>
      </c>
      <c r="C393" s="15">
        <v>42216</v>
      </c>
      <c r="D393" s="1" t="s">
        <v>23</v>
      </c>
      <c r="E393" s="1" t="s">
        <v>26</v>
      </c>
      <c r="F393" s="1" t="s">
        <v>773</v>
      </c>
      <c r="G393" s="1">
        <v>167.25</v>
      </c>
      <c r="H393" s="1">
        <v>142996</v>
      </c>
      <c r="I393" s="1" t="s">
        <v>466</v>
      </c>
      <c r="J393" s="1">
        <v>16468</v>
      </c>
      <c r="K393" s="1">
        <v>110686</v>
      </c>
    </row>
    <row r="394" spans="1:11" x14ac:dyDescent="0.2">
      <c r="A394" s="1" t="s">
        <v>486</v>
      </c>
      <c r="B394" s="1" t="s">
        <v>45</v>
      </c>
      <c r="C394" s="15">
        <v>42216</v>
      </c>
      <c r="D394" s="1" t="s">
        <v>23</v>
      </c>
      <c r="E394" s="1" t="s">
        <v>26</v>
      </c>
      <c r="F394" s="1" t="s">
        <v>773</v>
      </c>
      <c r="G394" s="1">
        <v>25</v>
      </c>
      <c r="H394" s="1">
        <v>142966</v>
      </c>
      <c r="I394" s="1" t="s">
        <v>468</v>
      </c>
      <c r="J394" s="1">
        <v>16468</v>
      </c>
      <c r="K394" s="1">
        <v>110925</v>
      </c>
    </row>
    <row r="395" spans="1:11" x14ac:dyDescent="0.2">
      <c r="A395" s="1" t="s">
        <v>486</v>
      </c>
      <c r="B395" s="1" t="s">
        <v>45</v>
      </c>
      <c r="C395" s="15">
        <v>42216</v>
      </c>
      <c r="D395" s="1" t="s">
        <v>23</v>
      </c>
      <c r="E395" s="1" t="s">
        <v>26</v>
      </c>
      <c r="F395" s="1" t="s">
        <v>773</v>
      </c>
      <c r="G395" s="1">
        <v>84.92</v>
      </c>
      <c r="H395" s="1">
        <v>142979</v>
      </c>
      <c r="I395" s="1" t="s">
        <v>470</v>
      </c>
      <c r="J395" s="1">
        <v>16468</v>
      </c>
      <c r="K395" s="1">
        <v>111287</v>
      </c>
    </row>
    <row r="396" spans="1:11" x14ac:dyDescent="0.2">
      <c r="A396" s="1" t="s">
        <v>486</v>
      </c>
      <c r="B396" s="1" t="s">
        <v>45</v>
      </c>
      <c r="C396" s="15">
        <v>42216</v>
      </c>
      <c r="D396" s="1" t="s">
        <v>23</v>
      </c>
      <c r="E396" s="1" t="s">
        <v>26</v>
      </c>
      <c r="F396" s="1" t="s">
        <v>773</v>
      </c>
      <c r="G396" s="1">
        <v>169.08</v>
      </c>
      <c r="H396" s="1">
        <v>143022</v>
      </c>
      <c r="I396" s="1" t="s">
        <v>473</v>
      </c>
      <c r="J396" s="1">
        <v>16468</v>
      </c>
      <c r="K396" s="1">
        <v>111467</v>
      </c>
    </row>
    <row r="397" spans="1:11" x14ac:dyDescent="0.2">
      <c r="A397" s="1" t="s">
        <v>486</v>
      </c>
      <c r="B397" s="1" t="s">
        <v>45</v>
      </c>
      <c r="C397" s="15">
        <v>42216</v>
      </c>
      <c r="D397" s="1" t="s">
        <v>23</v>
      </c>
      <c r="E397" s="1" t="s">
        <v>27</v>
      </c>
      <c r="F397" s="1" t="s">
        <v>774</v>
      </c>
      <c r="G397" s="1">
        <v>42</v>
      </c>
      <c r="H397" s="1">
        <v>142972</v>
      </c>
      <c r="I397" s="1" t="s">
        <v>138</v>
      </c>
      <c r="J397" s="1">
        <v>16468</v>
      </c>
      <c r="K397" s="1">
        <v>110499</v>
      </c>
    </row>
    <row r="398" spans="1:11" x14ac:dyDescent="0.2">
      <c r="A398" s="1" t="s">
        <v>486</v>
      </c>
      <c r="B398" s="1" t="s">
        <v>45</v>
      </c>
      <c r="C398" s="15">
        <v>42216</v>
      </c>
      <c r="D398" s="1" t="s">
        <v>23</v>
      </c>
      <c r="E398" s="1" t="s">
        <v>27</v>
      </c>
      <c r="F398" s="1" t="s">
        <v>774</v>
      </c>
      <c r="G398" s="1">
        <v>23</v>
      </c>
      <c r="H398" s="1">
        <v>142980</v>
      </c>
      <c r="I398" s="1" t="s">
        <v>140</v>
      </c>
      <c r="J398" s="1">
        <v>16468</v>
      </c>
      <c r="K398" s="1">
        <v>110501</v>
      </c>
    </row>
    <row r="399" spans="1:11" x14ac:dyDescent="0.2">
      <c r="A399" s="1" t="s">
        <v>486</v>
      </c>
      <c r="B399" s="1" t="s">
        <v>45</v>
      </c>
      <c r="C399" s="15">
        <v>42216</v>
      </c>
      <c r="D399" s="1" t="s">
        <v>23</v>
      </c>
      <c r="E399" s="1" t="s">
        <v>27</v>
      </c>
      <c r="F399" s="1" t="s">
        <v>774</v>
      </c>
      <c r="G399" s="1">
        <v>42</v>
      </c>
      <c r="H399" s="1">
        <v>142971</v>
      </c>
      <c r="I399" s="1" t="s">
        <v>125</v>
      </c>
      <c r="J399" s="1">
        <v>16468</v>
      </c>
      <c r="K399" s="1">
        <v>110482</v>
      </c>
    </row>
    <row r="400" spans="1:11" x14ac:dyDescent="0.2">
      <c r="A400" s="1" t="s">
        <v>486</v>
      </c>
      <c r="B400" s="1" t="s">
        <v>45</v>
      </c>
      <c r="C400" s="15">
        <v>42216</v>
      </c>
      <c r="D400" s="1" t="s">
        <v>23</v>
      </c>
      <c r="E400" s="1" t="s">
        <v>24</v>
      </c>
      <c r="F400" s="1" t="s">
        <v>776</v>
      </c>
      <c r="G400" s="1">
        <v>1890</v>
      </c>
      <c r="H400" s="1">
        <v>142975</v>
      </c>
      <c r="I400" s="1" t="s">
        <v>181</v>
      </c>
      <c r="J400" s="1">
        <v>16468</v>
      </c>
      <c r="K400" s="1">
        <v>109458</v>
      </c>
    </row>
    <row r="401" spans="1:11" x14ac:dyDescent="0.2">
      <c r="A401" s="1" t="s">
        <v>486</v>
      </c>
      <c r="B401" s="1" t="s">
        <v>45</v>
      </c>
      <c r="C401" s="15">
        <v>42216</v>
      </c>
      <c r="D401" s="1" t="s">
        <v>23</v>
      </c>
      <c r="E401" s="1" t="s">
        <v>27</v>
      </c>
      <c r="F401" s="1" t="s">
        <v>774</v>
      </c>
      <c r="G401" s="1">
        <v>18</v>
      </c>
      <c r="H401" s="1">
        <v>142973</v>
      </c>
      <c r="I401" s="1" t="s">
        <v>126</v>
      </c>
      <c r="J401" s="1">
        <v>16468</v>
      </c>
      <c r="K401" s="1">
        <v>110484</v>
      </c>
    </row>
    <row r="402" spans="1:11" x14ac:dyDescent="0.2">
      <c r="A402" s="1" t="s">
        <v>486</v>
      </c>
      <c r="B402" s="1" t="s">
        <v>45</v>
      </c>
      <c r="C402" s="15">
        <v>42216</v>
      </c>
      <c r="D402" s="1" t="s">
        <v>23</v>
      </c>
      <c r="E402" s="1" t="s">
        <v>24</v>
      </c>
      <c r="F402" s="1" t="s">
        <v>776</v>
      </c>
      <c r="G402" s="1">
        <v>1500</v>
      </c>
      <c r="H402" s="1">
        <v>142970</v>
      </c>
      <c r="I402" s="1" t="s">
        <v>180</v>
      </c>
      <c r="J402" s="1">
        <v>16468</v>
      </c>
      <c r="K402" s="1">
        <v>109460</v>
      </c>
    </row>
    <row r="403" spans="1:11" x14ac:dyDescent="0.2">
      <c r="A403" s="1" t="s">
        <v>486</v>
      </c>
      <c r="B403" s="1" t="s">
        <v>45</v>
      </c>
      <c r="C403" s="15">
        <v>42216</v>
      </c>
      <c r="D403" s="1" t="s">
        <v>23</v>
      </c>
      <c r="E403" s="1" t="s">
        <v>27</v>
      </c>
      <c r="F403" s="1" t="s">
        <v>774</v>
      </c>
      <c r="G403" s="1">
        <v>42</v>
      </c>
      <c r="H403" s="1">
        <v>143044</v>
      </c>
      <c r="I403" s="1" t="s">
        <v>127</v>
      </c>
      <c r="J403" s="1">
        <v>16468</v>
      </c>
      <c r="K403" s="1">
        <v>110486</v>
      </c>
    </row>
    <row r="404" spans="1:11" x14ac:dyDescent="0.2">
      <c r="A404" s="1" t="s">
        <v>486</v>
      </c>
      <c r="B404" s="1" t="s">
        <v>45</v>
      </c>
      <c r="C404" s="15">
        <v>42216</v>
      </c>
      <c r="D404" s="1" t="s">
        <v>23</v>
      </c>
      <c r="E404" s="1" t="s">
        <v>24</v>
      </c>
      <c r="F404" s="1" t="s">
        <v>776</v>
      </c>
      <c r="G404" s="1">
        <v>1890</v>
      </c>
      <c r="H404" s="1">
        <v>143033</v>
      </c>
      <c r="I404" s="1" t="s">
        <v>181</v>
      </c>
      <c r="J404" s="1">
        <v>16468</v>
      </c>
      <c r="K404" s="1">
        <v>109467</v>
      </c>
    </row>
    <row r="405" spans="1:11" x14ac:dyDescent="0.2">
      <c r="A405" s="1" t="s">
        <v>486</v>
      </c>
      <c r="B405" s="1" t="s">
        <v>45</v>
      </c>
      <c r="C405" s="15">
        <v>42216</v>
      </c>
      <c r="D405" s="1" t="s">
        <v>23</v>
      </c>
      <c r="E405" s="1" t="s">
        <v>27</v>
      </c>
      <c r="F405" s="1" t="s">
        <v>774</v>
      </c>
      <c r="G405" s="1">
        <v>42</v>
      </c>
      <c r="H405" s="1">
        <v>143026</v>
      </c>
      <c r="I405" s="1" t="s">
        <v>129</v>
      </c>
      <c r="J405" s="1">
        <v>16468</v>
      </c>
      <c r="K405" s="1">
        <v>110488</v>
      </c>
    </row>
    <row r="406" spans="1:11" x14ac:dyDescent="0.2">
      <c r="A406" s="1" t="s">
        <v>486</v>
      </c>
      <c r="B406" s="1" t="s">
        <v>45</v>
      </c>
      <c r="C406" s="15">
        <v>42216</v>
      </c>
      <c r="D406" s="1" t="s">
        <v>23</v>
      </c>
      <c r="E406" s="1" t="s">
        <v>26</v>
      </c>
      <c r="F406" s="1" t="s">
        <v>773</v>
      </c>
      <c r="G406" s="1">
        <v>72.81</v>
      </c>
      <c r="H406" s="1">
        <v>142963</v>
      </c>
      <c r="I406" s="1" t="s">
        <v>458</v>
      </c>
      <c r="J406" s="1">
        <v>16468</v>
      </c>
      <c r="K406" s="1">
        <v>109895</v>
      </c>
    </row>
    <row r="407" spans="1:11" x14ac:dyDescent="0.2">
      <c r="A407" s="1" t="s">
        <v>486</v>
      </c>
      <c r="B407" s="1" t="s">
        <v>45</v>
      </c>
      <c r="C407" s="15">
        <v>42216</v>
      </c>
      <c r="D407" s="1" t="s">
        <v>23</v>
      </c>
      <c r="E407" s="1" t="s">
        <v>27</v>
      </c>
      <c r="F407" s="1" t="s">
        <v>774</v>
      </c>
      <c r="G407" s="1">
        <v>64</v>
      </c>
      <c r="H407" s="1">
        <v>143049</v>
      </c>
      <c r="I407" s="1" t="s">
        <v>131</v>
      </c>
      <c r="J407" s="1">
        <v>16468</v>
      </c>
      <c r="K407" s="1">
        <v>110490</v>
      </c>
    </row>
    <row r="408" spans="1:11" x14ac:dyDescent="0.2">
      <c r="A408" s="1" t="s">
        <v>486</v>
      </c>
      <c r="B408" s="1" t="s">
        <v>45</v>
      </c>
      <c r="C408" s="15">
        <v>42216</v>
      </c>
      <c r="D408" s="1" t="s">
        <v>23</v>
      </c>
      <c r="E408" s="1" t="s">
        <v>26</v>
      </c>
      <c r="F408" s="1" t="s">
        <v>773</v>
      </c>
      <c r="G408" s="1">
        <v>107.87</v>
      </c>
      <c r="H408" s="1">
        <v>143043</v>
      </c>
      <c r="I408" s="1" t="s">
        <v>460</v>
      </c>
      <c r="J408" s="1">
        <v>16468</v>
      </c>
      <c r="K408" s="1">
        <v>109897</v>
      </c>
    </row>
    <row r="409" spans="1:11" x14ac:dyDescent="0.2">
      <c r="A409" s="1" t="s">
        <v>486</v>
      </c>
      <c r="B409" s="1" t="s">
        <v>45</v>
      </c>
      <c r="C409" s="15">
        <v>42216</v>
      </c>
      <c r="D409" s="1" t="s">
        <v>23</v>
      </c>
      <c r="E409" s="1" t="s">
        <v>27</v>
      </c>
      <c r="F409" s="1" t="s">
        <v>774</v>
      </c>
      <c r="G409" s="1">
        <v>42</v>
      </c>
      <c r="H409" s="1">
        <v>142976</v>
      </c>
      <c r="I409" s="1" t="s">
        <v>132</v>
      </c>
      <c r="J409" s="1">
        <v>16468</v>
      </c>
      <c r="K409" s="1">
        <v>110492</v>
      </c>
    </row>
    <row r="410" spans="1:11" x14ac:dyDescent="0.2">
      <c r="A410" s="1" t="s">
        <v>486</v>
      </c>
      <c r="B410" s="1" t="s">
        <v>45</v>
      </c>
      <c r="C410" s="15">
        <v>42216</v>
      </c>
      <c r="D410" s="1" t="s">
        <v>23</v>
      </c>
      <c r="E410" s="1" t="s">
        <v>26</v>
      </c>
      <c r="F410" s="1" t="s">
        <v>773</v>
      </c>
      <c r="G410" s="1">
        <v>90.28</v>
      </c>
      <c r="H410" s="1">
        <v>143031</v>
      </c>
      <c r="I410" s="1" t="s">
        <v>462</v>
      </c>
      <c r="J410" s="1">
        <v>16468</v>
      </c>
      <c r="K410" s="1">
        <v>109899</v>
      </c>
    </row>
    <row r="411" spans="1:11" x14ac:dyDescent="0.2">
      <c r="A411" s="1" t="s">
        <v>486</v>
      </c>
      <c r="B411" s="1" t="s">
        <v>45</v>
      </c>
      <c r="C411" s="15">
        <v>42216</v>
      </c>
      <c r="D411" s="1" t="s">
        <v>23</v>
      </c>
      <c r="E411" s="1" t="s">
        <v>27</v>
      </c>
      <c r="F411" s="1" t="s">
        <v>774</v>
      </c>
      <c r="G411" s="1">
        <v>42</v>
      </c>
      <c r="H411" s="1">
        <v>143032</v>
      </c>
      <c r="I411" s="1" t="s">
        <v>134</v>
      </c>
      <c r="J411" s="1">
        <v>16468</v>
      </c>
      <c r="K411" s="1">
        <v>110494</v>
      </c>
    </row>
    <row r="412" spans="1:11" x14ac:dyDescent="0.2">
      <c r="A412" s="1" t="s">
        <v>486</v>
      </c>
      <c r="B412" s="1" t="s">
        <v>45</v>
      </c>
      <c r="C412" s="15">
        <v>42216</v>
      </c>
      <c r="D412" s="1" t="s">
        <v>23</v>
      </c>
      <c r="E412" s="1" t="s">
        <v>27</v>
      </c>
      <c r="F412" s="1" t="s">
        <v>774</v>
      </c>
      <c r="G412" s="1">
        <v>42</v>
      </c>
      <c r="H412" s="1">
        <v>142996</v>
      </c>
      <c r="I412" s="1" t="s">
        <v>105</v>
      </c>
      <c r="J412" s="1">
        <v>16468</v>
      </c>
      <c r="K412" s="1">
        <v>110456</v>
      </c>
    </row>
    <row r="413" spans="1:11" x14ac:dyDescent="0.2">
      <c r="A413" s="1" t="s">
        <v>486</v>
      </c>
      <c r="B413" s="1" t="s">
        <v>45</v>
      </c>
      <c r="C413" s="15">
        <v>42216</v>
      </c>
      <c r="D413" s="1" t="s">
        <v>23</v>
      </c>
      <c r="E413" s="1" t="s">
        <v>27</v>
      </c>
      <c r="F413" s="1" t="s">
        <v>774</v>
      </c>
      <c r="G413" s="1">
        <v>42</v>
      </c>
      <c r="H413" s="1">
        <v>143037</v>
      </c>
      <c r="I413" s="1" t="s">
        <v>135</v>
      </c>
      <c r="J413" s="1">
        <v>16468</v>
      </c>
      <c r="K413" s="1">
        <v>110496</v>
      </c>
    </row>
    <row r="414" spans="1:11" x14ac:dyDescent="0.2">
      <c r="A414" s="1" t="s">
        <v>486</v>
      </c>
      <c r="B414" s="1" t="s">
        <v>45</v>
      </c>
      <c r="C414" s="15">
        <v>42216</v>
      </c>
      <c r="D414" s="1" t="s">
        <v>23</v>
      </c>
      <c r="E414" s="1" t="s">
        <v>27</v>
      </c>
      <c r="F414" s="1" t="s">
        <v>774</v>
      </c>
      <c r="G414" s="1">
        <v>42</v>
      </c>
      <c r="H414" s="1">
        <v>143034</v>
      </c>
      <c r="I414" s="1" t="s">
        <v>107</v>
      </c>
      <c r="J414" s="1">
        <v>16468</v>
      </c>
      <c r="K414" s="1">
        <v>110458</v>
      </c>
    </row>
    <row r="415" spans="1:11" x14ac:dyDescent="0.2">
      <c r="A415" s="1" t="s">
        <v>486</v>
      </c>
      <c r="B415" s="1" t="s">
        <v>45</v>
      </c>
      <c r="C415" s="15">
        <v>42216</v>
      </c>
      <c r="D415" s="1" t="s">
        <v>23</v>
      </c>
      <c r="E415" s="1" t="s">
        <v>24</v>
      </c>
      <c r="F415" s="1" t="s">
        <v>776</v>
      </c>
      <c r="G415" s="1">
        <v>3150</v>
      </c>
      <c r="H415" s="1">
        <v>142967</v>
      </c>
      <c r="I415" s="1" t="s">
        <v>181</v>
      </c>
      <c r="J415" s="1">
        <v>16468</v>
      </c>
      <c r="K415" s="1">
        <v>109424</v>
      </c>
    </row>
    <row r="416" spans="1:11" x14ac:dyDescent="0.2">
      <c r="A416" s="1" t="s">
        <v>486</v>
      </c>
      <c r="B416" s="1" t="s">
        <v>45</v>
      </c>
      <c r="C416" s="15">
        <v>42216</v>
      </c>
      <c r="D416" s="1" t="s">
        <v>23</v>
      </c>
      <c r="E416" s="1" t="s">
        <v>27</v>
      </c>
      <c r="F416" s="1" t="s">
        <v>774</v>
      </c>
      <c r="G416" s="1">
        <v>42</v>
      </c>
      <c r="H416" s="1">
        <v>142964</v>
      </c>
      <c r="I416" s="1" t="s">
        <v>108</v>
      </c>
      <c r="J416" s="1">
        <v>16468</v>
      </c>
      <c r="K416" s="1">
        <v>110460</v>
      </c>
    </row>
    <row r="417" spans="1:11" x14ac:dyDescent="0.2">
      <c r="A417" s="1" t="s">
        <v>486</v>
      </c>
      <c r="B417" s="1" t="s">
        <v>45</v>
      </c>
      <c r="C417" s="15">
        <v>42216</v>
      </c>
      <c r="D417" s="1" t="s">
        <v>23</v>
      </c>
      <c r="E417" s="1" t="s">
        <v>24</v>
      </c>
      <c r="F417" s="1" t="s">
        <v>776</v>
      </c>
      <c r="G417" s="1">
        <v>2100</v>
      </c>
      <c r="H417" s="1">
        <v>142973</v>
      </c>
      <c r="I417" s="1" t="s">
        <v>181</v>
      </c>
      <c r="J417" s="1">
        <v>16468</v>
      </c>
      <c r="K417" s="1">
        <v>109426</v>
      </c>
    </row>
    <row r="418" spans="1:11" x14ac:dyDescent="0.2">
      <c r="A418" s="1" t="s">
        <v>486</v>
      </c>
      <c r="B418" s="1" t="s">
        <v>45</v>
      </c>
      <c r="C418" s="15">
        <v>42216</v>
      </c>
      <c r="D418" s="1" t="s">
        <v>23</v>
      </c>
      <c r="E418" s="1" t="s">
        <v>27</v>
      </c>
      <c r="F418" s="1" t="s">
        <v>774</v>
      </c>
      <c r="G418" s="1">
        <v>42</v>
      </c>
      <c r="H418" s="1">
        <v>142974</v>
      </c>
      <c r="I418" s="1" t="s">
        <v>110</v>
      </c>
      <c r="J418" s="1">
        <v>16468</v>
      </c>
      <c r="K418" s="1">
        <v>110462</v>
      </c>
    </row>
    <row r="419" spans="1:11" x14ac:dyDescent="0.2">
      <c r="A419" s="1" t="s">
        <v>486</v>
      </c>
      <c r="B419" s="1" t="s">
        <v>45</v>
      </c>
      <c r="C419" s="15">
        <v>42216</v>
      </c>
      <c r="D419" s="1" t="s">
        <v>23</v>
      </c>
      <c r="E419" s="1" t="s">
        <v>24</v>
      </c>
      <c r="F419" s="1" t="s">
        <v>776</v>
      </c>
      <c r="G419" s="1">
        <v>1350</v>
      </c>
      <c r="H419" s="1">
        <v>143036</v>
      </c>
      <c r="I419" s="1" t="s">
        <v>180</v>
      </c>
      <c r="J419" s="1">
        <v>16468</v>
      </c>
      <c r="K419" s="1">
        <v>109428</v>
      </c>
    </row>
    <row r="420" spans="1:11" x14ac:dyDescent="0.2">
      <c r="A420" s="1" t="s">
        <v>486</v>
      </c>
      <c r="B420" s="1" t="s">
        <v>45</v>
      </c>
      <c r="C420" s="15">
        <v>42216</v>
      </c>
      <c r="D420" s="1" t="s">
        <v>23</v>
      </c>
      <c r="E420" s="1" t="s">
        <v>27</v>
      </c>
      <c r="F420" s="1" t="s">
        <v>774</v>
      </c>
      <c r="G420" s="1">
        <v>42</v>
      </c>
      <c r="H420" s="1">
        <v>142981</v>
      </c>
      <c r="I420" s="1" t="s">
        <v>112</v>
      </c>
      <c r="J420" s="1">
        <v>16468</v>
      </c>
      <c r="K420" s="1">
        <v>110464</v>
      </c>
    </row>
    <row r="421" spans="1:11" x14ac:dyDescent="0.2">
      <c r="A421" s="1" t="s">
        <v>486</v>
      </c>
      <c r="B421" s="1" t="s">
        <v>45</v>
      </c>
      <c r="C421" s="15">
        <v>42216</v>
      </c>
      <c r="D421" s="1" t="s">
        <v>23</v>
      </c>
      <c r="E421" s="1" t="s">
        <v>24</v>
      </c>
      <c r="F421" s="1" t="s">
        <v>776</v>
      </c>
      <c r="G421" s="1">
        <v>1890</v>
      </c>
      <c r="H421" s="1">
        <v>143034</v>
      </c>
      <c r="I421" s="1" t="s">
        <v>181</v>
      </c>
      <c r="J421" s="1">
        <v>16468</v>
      </c>
      <c r="K421" s="1">
        <v>109430</v>
      </c>
    </row>
    <row r="422" spans="1:11" x14ac:dyDescent="0.2">
      <c r="A422" s="1" t="s">
        <v>486</v>
      </c>
      <c r="B422" s="1" t="s">
        <v>45</v>
      </c>
      <c r="C422" s="15">
        <v>42216</v>
      </c>
      <c r="D422" s="1" t="s">
        <v>23</v>
      </c>
      <c r="E422" s="1" t="s">
        <v>27</v>
      </c>
      <c r="F422" s="1" t="s">
        <v>774</v>
      </c>
      <c r="G422" s="1">
        <v>42</v>
      </c>
      <c r="H422" s="1">
        <v>143027</v>
      </c>
      <c r="I422" s="1" t="s">
        <v>114</v>
      </c>
      <c r="J422" s="1">
        <v>16468</v>
      </c>
      <c r="K422" s="1">
        <v>110466</v>
      </c>
    </row>
    <row r="423" spans="1:11" x14ac:dyDescent="0.2">
      <c r="A423" s="1" t="s">
        <v>486</v>
      </c>
      <c r="B423" s="1" t="s">
        <v>45</v>
      </c>
      <c r="C423" s="15">
        <v>42216</v>
      </c>
      <c r="D423" s="1" t="s">
        <v>23</v>
      </c>
      <c r="E423" s="1" t="s">
        <v>24</v>
      </c>
      <c r="F423" s="1" t="s">
        <v>776</v>
      </c>
      <c r="G423" s="1">
        <v>2100</v>
      </c>
      <c r="H423" s="1">
        <v>142966</v>
      </c>
      <c r="I423" s="1" t="s">
        <v>181</v>
      </c>
      <c r="J423" s="1">
        <v>16468</v>
      </c>
      <c r="K423" s="1">
        <v>109432</v>
      </c>
    </row>
    <row r="424" spans="1:11" x14ac:dyDescent="0.2">
      <c r="A424" s="1" t="s">
        <v>486</v>
      </c>
      <c r="B424" s="1" t="s">
        <v>45</v>
      </c>
      <c r="C424" s="15">
        <v>42216</v>
      </c>
      <c r="D424" s="1" t="s">
        <v>23</v>
      </c>
      <c r="E424" s="1" t="s">
        <v>27</v>
      </c>
      <c r="F424" s="1" t="s">
        <v>774</v>
      </c>
      <c r="G424" s="1">
        <v>24</v>
      </c>
      <c r="H424" s="1">
        <v>143038</v>
      </c>
      <c r="I424" s="1" t="s">
        <v>115</v>
      </c>
      <c r="J424" s="1">
        <v>16468</v>
      </c>
      <c r="K424" s="1">
        <v>110468</v>
      </c>
    </row>
    <row r="425" spans="1:11" x14ac:dyDescent="0.2">
      <c r="A425" s="1" t="s">
        <v>486</v>
      </c>
      <c r="B425" s="1" t="s">
        <v>45</v>
      </c>
      <c r="C425" s="15">
        <v>42216</v>
      </c>
      <c r="D425" s="1" t="s">
        <v>23</v>
      </c>
      <c r="E425" s="1" t="s">
        <v>24</v>
      </c>
      <c r="F425" s="1" t="s">
        <v>776</v>
      </c>
      <c r="G425" s="1">
        <v>1500</v>
      </c>
      <c r="H425" s="1">
        <v>143030</v>
      </c>
      <c r="I425" s="1" t="s">
        <v>180</v>
      </c>
      <c r="J425" s="1">
        <v>16468</v>
      </c>
      <c r="K425" s="1">
        <v>109436</v>
      </c>
    </row>
    <row r="426" spans="1:11" x14ac:dyDescent="0.2">
      <c r="A426" s="1" t="s">
        <v>486</v>
      </c>
      <c r="B426" s="1" t="s">
        <v>45</v>
      </c>
      <c r="C426" s="15">
        <v>42216</v>
      </c>
      <c r="D426" s="1" t="s">
        <v>23</v>
      </c>
      <c r="E426" s="1" t="s">
        <v>27</v>
      </c>
      <c r="F426" s="1" t="s">
        <v>774</v>
      </c>
      <c r="G426" s="1">
        <v>31</v>
      </c>
      <c r="H426" s="1">
        <v>143039</v>
      </c>
      <c r="I426" s="1" t="s">
        <v>116</v>
      </c>
      <c r="J426" s="1">
        <v>16468</v>
      </c>
      <c r="K426" s="1">
        <v>110470</v>
      </c>
    </row>
    <row r="427" spans="1:11" x14ac:dyDescent="0.2">
      <c r="A427" s="1" t="s">
        <v>486</v>
      </c>
      <c r="B427" s="1" t="s">
        <v>45</v>
      </c>
      <c r="C427" s="15">
        <v>42216</v>
      </c>
      <c r="D427" s="1" t="s">
        <v>23</v>
      </c>
      <c r="E427" s="1" t="s">
        <v>24</v>
      </c>
      <c r="F427" s="1" t="s">
        <v>776</v>
      </c>
      <c r="G427" s="1">
        <v>1500</v>
      </c>
      <c r="H427" s="1">
        <v>142972</v>
      </c>
      <c r="I427" s="1" t="s">
        <v>180</v>
      </c>
      <c r="J427" s="1">
        <v>16468</v>
      </c>
      <c r="K427" s="1">
        <v>109438</v>
      </c>
    </row>
    <row r="428" spans="1:11" x14ac:dyDescent="0.2">
      <c r="A428" s="1" t="s">
        <v>486</v>
      </c>
      <c r="B428" s="1" t="s">
        <v>45</v>
      </c>
      <c r="C428" s="15">
        <v>42216</v>
      </c>
      <c r="D428" s="1" t="s">
        <v>23</v>
      </c>
      <c r="E428" s="1" t="s">
        <v>27</v>
      </c>
      <c r="F428" s="1" t="s">
        <v>774</v>
      </c>
      <c r="G428" s="1">
        <v>42</v>
      </c>
      <c r="H428" s="1">
        <v>142954</v>
      </c>
      <c r="I428" s="1" t="s">
        <v>118</v>
      </c>
      <c r="J428" s="1">
        <v>16468</v>
      </c>
      <c r="K428" s="1">
        <v>110472</v>
      </c>
    </row>
    <row r="429" spans="1:11" x14ac:dyDescent="0.2">
      <c r="A429" s="1" t="s">
        <v>486</v>
      </c>
      <c r="B429" s="1" t="s">
        <v>45</v>
      </c>
      <c r="C429" s="15">
        <v>42216</v>
      </c>
      <c r="D429" s="1" t="s">
        <v>23</v>
      </c>
      <c r="E429" s="1" t="s">
        <v>24</v>
      </c>
      <c r="F429" s="1" t="s">
        <v>776</v>
      </c>
      <c r="G429" s="1">
        <v>1950</v>
      </c>
      <c r="H429" s="1">
        <v>142978</v>
      </c>
      <c r="I429" s="1" t="s">
        <v>180</v>
      </c>
      <c r="J429" s="1">
        <v>16468</v>
      </c>
      <c r="K429" s="1">
        <v>109440</v>
      </c>
    </row>
    <row r="430" spans="1:11" x14ac:dyDescent="0.2">
      <c r="A430" s="1" t="s">
        <v>486</v>
      </c>
      <c r="B430" s="1" t="s">
        <v>45</v>
      </c>
      <c r="C430" s="15">
        <v>42216</v>
      </c>
      <c r="D430" s="1" t="s">
        <v>23</v>
      </c>
      <c r="E430" s="1" t="s">
        <v>27</v>
      </c>
      <c r="F430" s="1" t="s">
        <v>774</v>
      </c>
      <c r="G430" s="1">
        <v>49</v>
      </c>
      <c r="H430" s="1">
        <v>142970</v>
      </c>
      <c r="I430" s="1" t="s">
        <v>119</v>
      </c>
      <c r="J430" s="1">
        <v>16468</v>
      </c>
      <c r="K430" s="1">
        <v>110474</v>
      </c>
    </row>
    <row r="431" spans="1:11" x14ac:dyDescent="0.2">
      <c r="A431" s="1" t="s">
        <v>486</v>
      </c>
      <c r="B431" s="1" t="s">
        <v>45</v>
      </c>
      <c r="C431" s="15">
        <v>42216</v>
      </c>
      <c r="D431" s="1" t="s">
        <v>23</v>
      </c>
      <c r="E431" s="1" t="s">
        <v>24</v>
      </c>
      <c r="F431" s="1" t="s">
        <v>776</v>
      </c>
      <c r="G431" s="1">
        <v>2100</v>
      </c>
      <c r="H431" s="1">
        <v>142969</v>
      </c>
      <c r="I431" s="1" t="s">
        <v>181</v>
      </c>
      <c r="J431" s="1">
        <v>16468</v>
      </c>
      <c r="K431" s="1">
        <v>109446</v>
      </c>
    </row>
    <row r="432" spans="1:11" x14ac:dyDescent="0.2">
      <c r="A432" s="1" t="s">
        <v>486</v>
      </c>
      <c r="B432" s="1" t="s">
        <v>45</v>
      </c>
      <c r="C432" s="15">
        <v>42216</v>
      </c>
      <c r="D432" s="1" t="s">
        <v>23</v>
      </c>
      <c r="E432" s="1" t="s">
        <v>27</v>
      </c>
      <c r="F432" s="1" t="s">
        <v>774</v>
      </c>
      <c r="G432" s="1">
        <v>10</v>
      </c>
      <c r="H432" s="1">
        <v>143031</v>
      </c>
      <c r="I432" s="1" t="s">
        <v>121</v>
      </c>
      <c r="J432" s="1">
        <v>16468</v>
      </c>
      <c r="K432" s="1">
        <v>110476</v>
      </c>
    </row>
    <row r="433" spans="1:11" x14ac:dyDescent="0.2">
      <c r="A433" s="1" t="s">
        <v>486</v>
      </c>
      <c r="B433" s="1" t="s">
        <v>45</v>
      </c>
      <c r="C433" s="15">
        <v>42216</v>
      </c>
      <c r="D433" s="1" t="s">
        <v>23</v>
      </c>
      <c r="E433" s="1" t="s">
        <v>24</v>
      </c>
      <c r="F433" s="1" t="s">
        <v>776</v>
      </c>
      <c r="G433" s="1">
        <v>0</v>
      </c>
      <c r="H433" s="1">
        <v>0</v>
      </c>
      <c r="I433" s="1" t="s">
        <v>180</v>
      </c>
      <c r="J433" s="1">
        <v>16468</v>
      </c>
      <c r="K433" s="1">
        <v>109448</v>
      </c>
    </row>
    <row r="434" spans="1:11" x14ac:dyDescent="0.2">
      <c r="A434" s="1" t="s">
        <v>486</v>
      </c>
      <c r="B434" s="1" t="s">
        <v>45</v>
      </c>
      <c r="C434" s="15">
        <v>42216</v>
      </c>
      <c r="D434" s="1" t="s">
        <v>23</v>
      </c>
      <c r="E434" s="1" t="s">
        <v>27</v>
      </c>
      <c r="F434" s="1" t="s">
        <v>774</v>
      </c>
      <c r="G434" s="1">
        <v>23</v>
      </c>
      <c r="H434" s="1">
        <v>143036</v>
      </c>
      <c r="I434" s="1" t="s">
        <v>123</v>
      </c>
      <c r="J434" s="1">
        <v>16468</v>
      </c>
      <c r="K434" s="1">
        <v>110478</v>
      </c>
    </row>
    <row r="435" spans="1:11" x14ac:dyDescent="0.2">
      <c r="A435" s="1" t="s">
        <v>486</v>
      </c>
      <c r="B435" s="1" t="s">
        <v>45</v>
      </c>
      <c r="C435" s="15">
        <v>42216</v>
      </c>
      <c r="D435" s="1" t="s">
        <v>23</v>
      </c>
      <c r="E435" s="1" t="s">
        <v>24</v>
      </c>
      <c r="F435" s="1" t="s">
        <v>776</v>
      </c>
      <c r="G435" s="1">
        <v>1950</v>
      </c>
      <c r="H435" s="1">
        <v>142964</v>
      </c>
      <c r="I435" s="1" t="s">
        <v>180</v>
      </c>
      <c r="J435" s="1">
        <v>16468</v>
      </c>
      <c r="K435" s="1">
        <v>109450</v>
      </c>
    </row>
    <row r="436" spans="1:11" x14ac:dyDescent="0.2">
      <c r="A436" s="1" t="s">
        <v>486</v>
      </c>
      <c r="B436" s="1" t="s">
        <v>45</v>
      </c>
      <c r="C436" s="15">
        <v>42216</v>
      </c>
      <c r="D436" s="1" t="s">
        <v>23</v>
      </c>
      <c r="E436" s="1" t="s">
        <v>27</v>
      </c>
      <c r="F436" s="1" t="s">
        <v>774</v>
      </c>
      <c r="G436" s="1">
        <v>73</v>
      </c>
      <c r="H436" s="1">
        <v>142968</v>
      </c>
      <c r="I436" s="1" t="s">
        <v>124</v>
      </c>
      <c r="J436" s="1">
        <v>16468</v>
      </c>
      <c r="K436" s="1">
        <v>110480</v>
      </c>
    </row>
    <row r="437" spans="1:11" x14ac:dyDescent="0.2">
      <c r="A437" s="1" t="s">
        <v>486</v>
      </c>
      <c r="B437" s="1" t="s">
        <v>45</v>
      </c>
      <c r="C437" s="15">
        <v>42216</v>
      </c>
      <c r="D437" s="1" t="s">
        <v>23</v>
      </c>
      <c r="E437" s="1" t="s">
        <v>24</v>
      </c>
      <c r="F437" s="1" t="s">
        <v>776</v>
      </c>
      <c r="G437" s="1">
        <v>1050</v>
      </c>
      <c r="H437" s="1">
        <v>143043</v>
      </c>
      <c r="I437" s="1" t="s">
        <v>181</v>
      </c>
      <c r="J437" s="1">
        <v>16468</v>
      </c>
      <c r="K437" s="1">
        <v>109455</v>
      </c>
    </row>
    <row r="438" spans="1:11" x14ac:dyDescent="0.2">
      <c r="A438" s="1" t="s">
        <v>486</v>
      </c>
      <c r="B438" s="1" t="s">
        <v>45</v>
      </c>
      <c r="C438" s="15">
        <v>42216</v>
      </c>
      <c r="D438" s="1" t="s">
        <v>23</v>
      </c>
      <c r="E438" s="1" t="s">
        <v>27</v>
      </c>
      <c r="F438" s="1" t="s">
        <v>774</v>
      </c>
      <c r="G438" s="1">
        <v>350.1</v>
      </c>
      <c r="H438" s="1">
        <v>142996</v>
      </c>
      <c r="I438" s="1" t="s">
        <v>97</v>
      </c>
      <c r="J438" s="1">
        <v>16468</v>
      </c>
      <c r="K438" s="1">
        <v>109369</v>
      </c>
    </row>
    <row r="439" spans="1:11" x14ac:dyDescent="0.2">
      <c r="A439" s="1" t="s">
        <v>486</v>
      </c>
      <c r="B439" s="1" t="s">
        <v>45</v>
      </c>
      <c r="C439" s="15">
        <v>42216</v>
      </c>
      <c r="D439" s="1" t="s">
        <v>23</v>
      </c>
      <c r="E439" s="1" t="s">
        <v>27</v>
      </c>
      <c r="F439" s="1" t="s">
        <v>774</v>
      </c>
      <c r="G439" s="1">
        <v>413.2</v>
      </c>
      <c r="H439" s="1">
        <v>142996</v>
      </c>
      <c r="I439" s="1" t="s">
        <v>58</v>
      </c>
      <c r="J439" s="1">
        <v>16468</v>
      </c>
      <c r="K439" s="1">
        <v>109315</v>
      </c>
    </row>
    <row r="440" spans="1:11" x14ac:dyDescent="0.2">
      <c r="A440" s="1" t="s">
        <v>486</v>
      </c>
      <c r="B440" s="1" t="s">
        <v>45</v>
      </c>
      <c r="C440" s="15">
        <v>42216</v>
      </c>
      <c r="D440" s="1" t="s">
        <v>23</v>
      </c>
      <c r="E440" s="1" t="s">
        <v>26</v>
      </c>
      <c r="F440" s="1" t="s">
        <v>773</v>
      </c>
      <c r="G440" s="1">
        <v>92.07</v>
      </c>
      <c r="H440" s="1">
        <v>142982</v>
      </c>
      <c r="I440" s="1" t="s">
        <v>453</v>
      </c>
      <c r="J440" s="1">
        <v>16468</v>
      </c>
      <c r="K440" s="1">
        <v>109374</v>
      </c>
    </row>
    <row r="441" spans="1:11" x14ac:dyDescent="0.2">
      <c r="A441" s="1" t="s">
        <v>486</v>
      </c>
      <c r="B441" s="1" t="s">
        <v>45</v>
      </c>
      <c r="C441" s="15">
        <v>42216</v>
      </c>
      <c r="D441" s="1" t="s">
        <v>23</v>
      </c>
      <c r="E441" s="1" t="s">
        <v>27</v>
      </c>
      <c r="F441" s="1" t="s">
        <v>774</v>
      </c>
      <c r="G441" s="1">
        <v>489.2</v>
      </c>
      <c r="H441" s="1">
        <v>142964</v>
      </c>
      <c r="I441" s="1" t="s">
        <v>60</v>
      </c>
      <c r="J441" s="1">
        <v>16468</v>
      </c>
      <c r="K441" s="1">
        <v>109317</v>
      </c>
    </row>
    <row r="442" spans="1:11" x14ac:dyDescent="0.2">
      <c r="A442" s="1" t="s">
        <v>486</v>
      </c>
      <c r="B442" s="1" t="s">
        <v>45</v>
      </c>
      <c r="C442" s="15">
        <v>42216</v>
      </c>
      <c r="D442" s="1" t="s">
        <v>23</v>
      </c>
      <c r="E442" s="1" t="s">
        <v>26</v>
      </c>
      <c r="F442" s="1" t="s">
        <v>773</v>
      </c>
      <c r="G442" s="1">
        <v>144.11000000000001</v>
      </c>
      <c r="H442" s="1">
        <v>142970</v>
      </c>
      <c r="I442" s="1" t="s">
        <v>454</v>
      </c>
      <c r="J442" s="1">
        <v>16468</v>
      </c>
      <c r="K442" s="1">
        <v>109376</v>
      </c>
    </row>
    <row r="443" spans="1:11" x14ac:dyDescent="0.2">
      <c r="A443" s="1" t="s">
        <v>486</v>
      </c>
      <c r="B443" s="1" t="s">
        <v>45</v>
      </c>
      <c r="C443" s="15">
        <v>42216</v>
      </c>
      <c r="D443" s="1" t="s">
        <v>23</v>
      </c>
      <c r="E443" s="1" t="s">
        <v>27</v>
      </c>
      <c r="F443" s="1" t="s">
        <v>774</v>
      </c>
      <c r="G443" s="1">
        <v>372.2</v>
      </c>
      <c r="H443" s="1">
        <v>142974</v>
      </c>
      <c r="I443" s="1" t="s">
        <v>62</v>
      </c>
      <c r="J443" s="1">
        <v>16468</v>
      </c>
      <c r="K443" s="1">
        <v>109319</v>
      </c>
    </row>
    <row r="444" spans="1:11" x14ac:dyDescent="0.2">
      <c r="A444" s="1" t="s">
        <v>486</v>
      </c>
      <c r="B444" s="1" t="s">
        <v>45</v>
      </c>
      <c r="C444" s="15">
        <v>42216</v>
      </c>
      <c r="D444" s="1" t="s">
        <v>23</v>
      </c>
      <c r="E444" s="1" t="s">
        <v>26</v>
      </c>
      <c r="F444" s="1" t="s">
        <v>773</v>
      </c>
      <c r="G444" s="1">
        <v>68</v>
      </c>
      <c r="H444" s="1">
        <v>142975</v>
      </c>
      <c r="I444" s="1" t="s">
        <v>455</v>
      </c>
      <c r="J444" s="1">
        <v>16468</v>
      </c>
      <c r="K444" s="1">
        <v>109378</v>
      </c>
    </row>
    <row r="445" spans="1:11" x14ac:dyDescent="0.2">
      <c r="A445" s="1" t="s">
        <v>486</v>
      </c>
      <c r="B445" s="1" t="s">
        <v>45</v>
      </c>
      <c r="C445" s="15">
        <v>42216</v>
      </c>
      <c r="D445" s="1" t="s">
        <v>23</v>
      </c>
      <c r="E445" s="1" t="s">
        <v>27</v>
      </c>
      <c r="F445" s="1" t="s">
        <v>774</v>
      </c>
      <c r="G445" s="1">
        <v>572.20000000000005</v>
      </c>
      <c r="H445" s="1">
        <v>142981</v>
      </c>
      <c r="I445" s="1" t="s">
        <v>64</v>
      </c>
      <c r="J445" s="1">
        <v>16468</v>
      </c>
      <c r="K445" s="1">
        <v>109321</v>
      </c>
    </row>
    <row r="446" spans="1:11" x14ac:dyDescent="0.2">
      <c r="A446" s="1" t="s">
        <v>486</v>
      </c>
      <c r="B446" s="1" t="s">
        <v>45</v>
      </c>
      <c r="C446" s="15">
        <v>42216</v>
      </c>
      <c r="D446" s="1" t="s">
        <v>23</v>
      </c>
      <c r="E446" s="1" t="s">
        <v>24</v>
      </c>
      <c r="F446" s="1" t="s">
        <v>776</v>
      </c>
      <c r="G446" s="1">
        <v>1050</v>
      </c>
      <c r="H446" s="1">
        <v>143044</v>
      </c>
      <c r="I446" s="1" t="s">
        <v>181</v>
      </c>
      <c r="J446" s="1">
        <v>16468</v>
      </c>
      <c r="K446" s="1">
        <v>109422</v>
      </c>
    </row>
    <row r="447" spans="1:11" x14ac:dyDescent="0.2">
      <c r="A447" s="1" t="s">
        <v>486</v>
      </c>
      <c r="B447" s="1" t="s">
        <v>45</v>
      </c>
      <c r="C447" s="15">
        <v>42216</v>
      </c>
      <c r="D447" s="1" t="s">
        <v>23</v>
      </c>
      <c r="E447" s="1" t="s">
        <v>27</v>
      </c>
      <c r="F447" s="1" t="s">
        <v>774</v>
      </c>
      <c r="G447" s="1">
        <v>336.2</v>
      </c>
      <c r="H447" s="1">
        <v>143027</v>
      </c>
      <c r="I447" s="1" t="s">
        <v>66</v>
      </c>
      <c r="J447" s="1">
        <v>16468</v>
      </c>
      <c r="K447" s="1">
        <v>109323</v>
      </c>
    </row>
    <row r="448" spans="1:11" x14ac:dyDescent="0.2">
      <c r="A448" s="1" t="s">
        <v>486</v>
      </c>
      <c r="B448" s="1" t="s">
        <v>45</v>
      </c>
      <c r="C448" s="15">
        <v>42216</v>
      </c>
      <c r="D448" s="1" t="s">
        <v>23</v>
      </c>
      <c r="E448" s="1" t="s">
        <v>27</v>
      </c>
      <c r="F448" s="1" t="s">
        <v>774</v>
      </c>
      <c r="G448" s="1">
        <v>522.20000000000005</v>
      </c>
      <c r="H448" s="1">
        <v>143039</v>
      </c>
      <c r="I448" s="1" t="s">
        <v>68</v>
      </c>
      <c r="J448" s="1">
        <v>16468</v>
      </c>
      <c r="K448" s="1">
        <v>109325</v>
      </c>
    </row>
    <row r="449" spans="1:11" x14ac:dyDescent="0.2">
      <c r="A449" s="1" t="s">
        <v>486</v>
      </c>
      <c r="B449" s="1" t="s">
        <v>45</v>
      </c>
      <c r="C449" s="15">
        <v>42216</v>
      </c>
      <c r="D449" s="1" t="s">
        <v>23</v>
      </c>
      <c r="E449" s="1" t="s">
        <v>27</v>
      </c>
      <c r="F449" s="1" t="s">
        <v>774</v>
      </c>
      <c r="G449" s="1">
        <v>968.7</v>
      </c>
      <c r="H449" s="1">
        <v>142954</v>
      </c>
      <c r="I449" s="1" t="s">
        <v>70</v>
      </c>
      <c r="J449" s="1">
        <v>16468</v>
      </c>
      <c r="K449" s="1">
        <v>109329</v>
      </c>
    </row>
    <row r="450" spans="1:11" x14ac:dyDescent="0.2">
      <c r="A450" s="1" t="s">
        <v>486</v>
      </c>
      <c r="B450" s="1" t="s">
        <v>45</v>
      </c>
      <c r="C450" s="15">
        <v>42216</v>
      </c>
      <c r="D450" s="1" t="s">
        <v>23</v>
      </c>
      <c r="E450" s="1" t="s">
        <v>24</v>
      </c>
      <c r="F450" s="1" t="s">
        <v>776</v>
      </c>
      <c r="G450" s="1">
        <v>1950</v>
      </c>
      <c r="H450" s="1">
        <v>143021</v>
      </c>
      <c r="I450" s="1" t="s">
        <v>180</v>
      </c>
      <c r="J450" s="1">
        <v>16468</v>
      </c>
      <c r="K450" s="1">
        <v>109413</v>
      </c>
    </row>
    <row r="451" spans="1:11" x14ac:dyDescent="0.2">
      <c r="A451" s="1" t="s">
        <v>486</v>
      </c>
      <c r="B451" s="1" t="s">
        <v>45</v>
      </c>
      <c r="C451" s="15">
        <v>42216</v>
      </c>
      <c r="D451" s="1" t="s">
        <v>23</v>
      </c>
      <c r="E451" s="1" t="s">
        <v>27</v>
      </c>
      <c r="F451" s="1" t="s">
        <v>774</v>
      </c>
      <c r="G451" s="1">
        <v>957.2</v>
      </c>
      <c r="H451" s="1">
        <v>142975</v>
      </c>
      <c r="I451" s="1" t="s">
        <v>72</v>
      </c>
      <c r="J451" s="1">
        <v>16468</v>
      </c>
      <c r="K451" s="1">
        <v>109331</v>
      </c>
    </row>
    <row r="452" spans="1:11" x14ac:dyDescent="0.2">
      <c r="A452" s="1" t="s">
        <v>486</v>
      </c>
      <c r="B452" s="1" t="s">
        <v>45</v>
      </c>
      <c r="C452" s="15">
        <v>42216</v>
      </c>
      <c r="D452" s="1" t="s">
        <v>23</v>
      </c>
      <c r="E452" s="1" t="s">
        <v>24</v>
      </c>
      <c r="F452" s="1" t="s">
        <v>776</v>
      </c>
      <c r="G452" s="1">
        <v>1890</v>
      </c>
      <c r="H452" s="1">
        <v>143031</v>
      </c>
      <c r="I452" s="1" t="s">
        <v>181</v>
      </c>
      <c r="J452" s="1">
        <v>16468</v>
      </c>
      <c r="K452" s="1">
        <v>109421</v>
      </c>
    </row>
    <row r="453" spans="1:11" x14ac:dyDescent="0.2">
      <c r="A453" s="1" t="s">
        <v>486</v>
      </c>
      <c r="B453" s="1" t="s">
        <v>45</v>
      </c>
      <c r="C453" s="15">
        <v>42216</v>
      </c>
      <c r="D453" s="1" t="s">
        <v>23</v>
      </c>
      <c r="E453" s="1" t="s">
        <v>27</v>
      </c>
      <c r="F453" s="1" t="s">
        <v>774</v>
      </c>
      <c r="G453" s="1">
        <v>495.2</v>
      </c>
      <c r="H453" s="1">
        <v>143036</v>
      </c>
      <c r="I453" s="1" t="s">
        <v>74</v>
      </c>
      <c r="J453" s="1">
        <v>16468</v>
      </c>
      <c r="K453" s="1">
        <v>109333</v>
      </c>
    </row>
    <row r="454" spans="1:11" x14ac:dyDescent="0.2">
      <c r="A454" s="1" t="s">
        <v>486</v>
      </c>
      <c r="B454" s="1" t="s">
        <v>45</v>
      </c>
      <c r="C454" s="15">
        <v>42216</v>
      </c>
      <c r="D454" s="1" t="s">
        <v>23</v>
      </c>
      <c r="E454" s="1" t="s">
        <v>24</v>
      </c>
      <c r="F454" s="1" t="s">
        <v>776</v>
      </c>
      <c r="G454" s="1">
        <v>1890</v>
      </c>
      <c r="H454" s="1">
        <v>143040</v>
      </c>
      <c r="I454" s="1" t="s">
        <v>181</v>
      </c>
      <c r="J454" s="1">
        <v>16468</v>
      </c>
      <c r="K454" s="1">
        <v>109457</v>
      </c>
    </row>
    <row r="455" spans="1:11" x14ac:dyDescent="0.2">
      <c r="A455" s="1" t="s">
        <v>486</v>
      </c>
      <c r="B455" s="1" t="s">
        <v>45</v>
      </c>
      <c r="C455" s="15">
        <v>42216</v>
      </c>
      <c r="D455" s="1" t="s">
        <v>23</v>
      </c>
      <c r="E455" s="1" t="s">
        <v>27</v>
      </c>
      <c r="F455" s="1" t="s">
        <v>774</v>
      </c>
      <c r="G455" s="1">
        <v>446.2</v>
      </c>
      <c r="H455" s="1">
        <v>142971</v>
      </c>
      <c r="I455" s="1" t="s">
        <v>76</v>
      </c>
      <c r="J455" s="1">
        <v>16468</v>
      </c>
      <c r="K455" s="1">
        <v>109337</v>
      </c>
    </row>
    <row r="456" spans="1:11" x14ac:dyDescent="0.2">
      <c r="A456" s="1" t="s">
        <v>486</v>
      </c>
      <c r="B456" s="1" t="s">
        <v>45</v>
      </c>
      <c r="C456" s="15">
        <v>42216</v>
      </c>
      <c r="D456" s="1" t="s">
        <v>23</v>
      </c>
      <c r="E456" s="1" t="s">
        <v>24</v>
      </c>
      <c r="F456" s="1" t="s">
        <v>776</v>
      </c>
      <c r="G456" s="1">
        <v>2100</v>
      </c>
      <c r="H456" s="1">
        <v>143024</v>
      </c>
      <c r="I456" s="1" t="s">
        <v>181</v>
      </c>
      <c r="J456" s="1">
        <v>16468</v>
      </c>
      <c r="K456" s="1">
        <v>109416</v>
      </c>
    </row>
    <row r="457" spans="1:11" x14ac:dyDescent="0.2">
      <c r="A457" s="1" t="s">
        <v>486</v>
      </c>
      <c r="B457" s="1" t="s">
        <v>45</v>
      </c>
      <c r="C457" s="15">
        <v>42216</v>
      </c>
      <c r="D457" s="1" t="s">
        <v>23</v>
      </c>
      <c r="E457" s="1" t="s">
        <v>27</v>
      </c>
      <c r="F457" s="1" t="s">
        <v>774</v>
      </c>
      <c r="G457" s="1">
        <v>350.2</v>
      </c>
      <c r="H457" s="1">
        <v>142973</v>
      </c>
      <c r="I457" s="1" t="s">
        <v>78</v>
      </c>
      <c r="J457" s="1">
        <v>16468</v>
      </c>
      <c r="K457" s="1">
        <v>109339</v>
      </c>
    </row>
    <row r="458" spans="1:11" x14ac:dyDescent="0.2">
      <c r="A458" s="1" t="s">
        <v>486</v>
      </c>
      <c r="B458" s="1" t="s">
        <v>45</v>
      </c>
      <c r="C458" s="15">
        <v>42216</v>
      </c>
      <c r="D458" s="1" t="s">
        <v>23</v>
      </c>
      <c r="E458" s="1" t="s">
        <v>24</v>
      </c>
      <c r="F458" s="1" t="s">
        <v>776</v>
      </c>
      <c r="G458" s="1">
        <v>1890</v>
      </c>
      <c r="H458" s="1">
        <v>143037</v>
      </c>
      <c r="I458" s="1" t="s">
        <v>181</v>
      </c>
      <c r="J458" s="1">
        <v>16468</v>
      </c>
      <c r="K458" s="1">
        <v>109418</v>
      </c>
    </row>
    <row r="459" spans="1:11" x14ac:dyDescent="0.2">
      <c r="A459" s="1" t="s">
        <v>486</v>
      </c>
      <c r="B459" s="1" t="s">
        <v>45</v>
      </c>
      <c r="C459" s="15">
        <v>42216</v>
      </c>
      <c r="D459" s="1" t="s">
        <v>23</v>
      </c>
      <c r="E459" s="1" t="s">
        <v>27</v>
      </c>
      <c r="F459" s="1" t="s">
        <v>774</v>
      </c>
      <c r="G459" s="1">
        <v>501.7</v>
      </c>
      <c r="H459" s="1">
        <v>142994</v>
      </c>
      <c r="I459" s="1" t="s">
        <v>80</v>
      </c>
      <c r="J459" s="1">
        <v>16468</v>
      </c>
      <c r="K459" s="1">
        <v>109341</v>
      </c>
    </row>
    <row r="460" spans="1:11" x14ac:dyDescent="0.2">
      <c r="A460" s="1" t="s">
        <v>486</v>
      </c>
      <c r="B460" s="1" t="s">
        <v>45</v>
      </c>
      <c r="C460" s="15">
        <v>42216</v>
      </c>
      <c r="D460" s="1" t="s">
        <v>23</v>
      </c>
      <c r="E460" s="1" t="s">
        <v>24</v>
      </c>
      <c r="F460" s="1" t="s">
        <v>776</v>
      </c>
      <c r="G460" s="1">
        <v>2100</v>
      </c>
      <c r="H460" s="1">
        <v>142954</v>
      </c>
      <c r="I460" s="1" t="s">
        <v>217</v>
      </c>
      <c r="J460" s="1">
        <v>16468</v>
      </c>
      <c r="K460" s="1">
        <v>108710</v>
      </c>
    </row>
    <row r="461" spans="1:11" x14ac:dyDescent="0.2">
      <c r="A461" s="1" t="s">
        <v>486</v>
      </c>
      <c r="B461" s="1" t="s">
        <v>45</v>
      </c>
      <c r="C461" s="15">
        <v>42216</v>
      </c>
      <c r="D461" s="1" t="s">
        <v>23</v>
      </c>
      <c r="E461" s="1" t="s">
        <v>27</v>
      </c>
      <c r="F461" s="1" t="s">
        <v>774</v>
      </c>
      <c r="G461" s="1">
        <v>481.2</v>
      </c>
      <c r="H461" s="1">
        <v>143049</v>
      </c>
      <c r="I461" s="1" t="s">
        <v>82</v>
      </c>
      <c r="J461" s="1">
        <v>16468</v>
      </c>
      <c r="K461" s="1">
        <v>109346</v>
      </c>
    </row>
    <row r="462" spans="1:11" x14ac:dyDescent="0.2">
      <c r="A462" s="1" t="s">
        <v>486</v>
      </c>
      <c r="B462" s="1" t="s">
        <v>45</v>
      </c>
      <c r="C462" s="15">
        <v>42216</v>
      </c>
      <c r="D462" s="1" t="s">
        <v>23</v>
      </c>
      <c r="E462" s="1" t="s">
        <v>27</v>
      </c>
      <c r="F462" s="1" t="s">
        <v>774</v>
      </c>
      <c r="G462" s="1">
        <v>42</v>
      </c>
      <c r="H462" s="1">
        <v>142982</v>
      </c>
      <c r="I462" s="1" t="s">
        <v>46</v>
      </c>
      <c r="J462" s="1">
        <v>16468</v>
      </c>
      <c r="K462" s="1">
        <v>108718</v>
      </c>
    </row>
    <row r="463" spans="1:11" x14ac:dyDescent="0.2">
      <c r="A463" s="1" t="s">
        <v>486</v>
      </c>
      <c r="B463" s="1" t="s">
        <v>45</v>
      </c>
      <c r="C463" s="15">
        <v>42216</v>
      </c>
      <c r="D463" s="1" t="s">
        <v>23</v>
      </c>
      <c r="E463" s="1" t="s">
        <v>27</v>
      </c>
      <c r="F463" s="1" t="s">
        <v>774</v>
      </c>
      <c r="G463" s="1">
        <v>556.20000000000005</v>
      </c>
      <c r="H463" s="1">
        <v>142997</v>
      </c>
      <c r="I463" s="1" t="s">
        <v>84</v>
      </c>
      <c r="J463" s="1">
        <v>16468</v>
      </c>
      <c r="K463" s="1">
        <v>109348</v>
      </c>
    </row>
    <row r="464" spans="1:11" x14ac:dyDescent="0.2">
      <c r="A464" s="1" t="s">
        <v>486</v>
      </c>
      <c r="B464" s="1" t="s">
        <v>45</v>
      </c>
      <c r="C464" s="15">
        <v>42216</v>
      </c>
      <c r="D464" s="1" t="s">
        <v>23</v>
      </c>
      <c r="E464" s="1" t="s">
        <v>27</v>
      </c>
      <c r="F464" s="1" t="s">
        <v>774</v>
      </c>
      <c r="G464" s="1">
        <v>587.20000000000005</v>
      </c>
      <c r="H464" s="1">
        <v>143043</v>
      </c>
      <c r="I464" s="1" t="s">
        <v>47</v>
      </c>
      <c r="J464" s="1">
        <v>16468</v>
      </c>
      <c r="K464" s="1">
        <v>108720</v>
      </c>
    </row>
    <row r="465" spans="1:11" x14ac:dyDescent="0.2">
      <c r="A465" s="1" t="s">
        <v>486</v>
      </c>
      <c r="B465" s="1" t="s">
        <v>45</v>
      </c>
      <c r="C465" s="15">
        <v>42216</v>
      </c>
      <c r="D465" s="1" t="s">
        <v>23</v>
      </c>
      <c r="E465" s="1" t="s">
        <v>27</v>
      </c>
      <c r="F465" s="1" t="s">
        <v>774</v>
      </c>
      <c r="G465" s="1">
        <v>686.2</v>
      </c>
      <c r="H465" s="1">
        <v>143032</v>
      </c>
      <c r="I465" s="1" t="s">
        <v>86</v>
      </c>
      <c r="J465" s="1">
        <v>16468</v>
      </c>
      <c r="K465" s="1">
        <v>109350</v>
      </c>
    </row>
    <row r="466" spans="1:11" x14ac:dyDescent="0.2">
      <c r="A466" s="1" t="s">
        <v>486</v>
      </c>
      <c r="B466" s="1" t="s">
        <v>45</v>
      </c>
      <c r="C466" s="15">
        <v>42216</v>
      </c>
      <c r="D466" s="1" t="s">
        <v>23</v>
      </c>
      <c r="E466" s="1" t="s">
        <v>24</v>
      </c>
      <c r="F466" s="1" t="s">
        <v>776</v>
      </c>
      <c r="G466" s="1">
        <v>1890</v>
      </c>
      <c r="H466" s="1">
        <v>143049</v>
      </c>
      <c r="I466" s="1" t="s">
        <v>181</v>
      </c>
      <c r="J466" s="1">
        <v>16468</v>
      </c>
      <c r="K466" s="1">
        <v>108722</v>
      </c>
    </row>
    <row r="467" spans="1:11" x14ac:dyDescent="0.2">
      <c r="A467" s="1" t="s">
        <v>486</v>
      </c>
      <c r="B467" s="1" t="s">
        <v>45</v>
      </c>
      <c r="C467" s="15">
        <v>42216</v>
      </c>
      <c r="D467" s="1" t="s">
        <v>23</v>
      </c>
      <c r="E467" s="1" t="s">
        <v>27</v>
      </c>
      <c r="F467" s="1" t="s">
        <v>774</v>
      </c>
      <c r="G467" s="1">
        <v>628.1</v>
      </c>
      <c r="H467" s="1">
        <v>142972</v>
      </c>
      <c r="I467" s="1" t="s">
        <v>88</v>
      </c>
      <c r="J467" s="1">
        <v>16468</v>
      </c>
      <c r="K467" s="1">
        <v>109354</v>
      </c>
    </row>
    <row r="468" spans="1:11" x14ac:dyDescent="0.2">
      <c r="A468" s="1" t="s">
        <v>486</v>
      </c>
      <c r="B468" s="1" t="s">
        <v>45</v>
      </c>
      <c r="C468" s="15">
        <v>42216</v>
      </c>
      <c r="D468" s="1" t="s">
        <v>23</v>
      </c>
      <c r="E468" s="1" t="s">
        <v>27</v>
      </c>
      <c r="F468" s="1" t="s">
        <v>774</v>
      </c>
      <c r="G468" s="1">
        <v>20</v>
      </c>
      <c r="H468" s="1">
        <v>142979</v>
      </c>
      <c r="I468" s="1" t="s">
        <v>50</v>
      </c>
      <c r="J468" s="1">
        <v>16468</v>
      </c>
      <c r="K468" s="1">
        <v>108724</v>
      </c>
    </row>
    <row r="469" spans="1:11" x14ac:dyDescent="0.2">
      <c r="A469" s="1" t="s">
        <v>486</v>
      </c>
      <c r="B469" s="1" t="s">
        <v>45</v>
      </c>
      <c r="C469" s="15">
        <v>42216</v>
      </c>
      <c r="D469" s="1" t="s">
        <v>23</v>
      </c>
      <c r="E469" s="1" t="s">
        <v>27</v>
      </c>
      <c r="F469" s="1" t="s">
        <v>774</v>
      </c>
      <c r="G469" s="1">
        <v>385.2</v>
      </c>
      <c r="H469" s="1">
        <v>142980</v>
      </c>
      <c r="I469" s="1" t="s">
        <v>89</v>
      </c>
      <c r="J469" s="1">
        <v>16468</v>
      </c>
      <c r="K469" s="1">
        <v>109356</v>
      </c>
    </row>
    <row r="470" spans="1:11" x14ac:dyDescent="0.2">
      <c r="A470" s="1" t="s">
        <v>486</v>
      </c>
      <c r="B470" s="1" t="s">
        <v>45</v>
      </c>
      <c r="C470" s="15">
        <v>42216</v>
      </c>
      <c r="D470" s="1" t="s">
        <v>23</v>
      </c>
      <c r="E470" s="1" t="s">
        <v>27</v>
      </c>
      <c r="F470" s="1" t="s">
        <v>774</v>
      </c>
      <c r="G470" s="1">
        <v>42</v>
      </c>
      <c r="H470" s="1">
        <v>142967</v>
      </c>
      <c r="I470" s="1" t="s">
        <v>51</v>
      </c>
      <c r="J470" s="1">
        <v>16468</v>
      </c>
      <c r="K470" s="1">
        <v>108726</v>
      </c>
    </row>
    <row r="471" spans="1:11" x14ac:dyDescent="0.2">
      <c r="A471" s="1" t="s">
        <v>486</v>
      </c>
      <c r="B471" s="1" t="s">
        <v>45</v>
      </c>
      <c r="C471" s="15">
        <v>42216</v>
      </c>
      <c r="D471" s="1" t="s">
        <v>23</v>
      </c>
      <c r="E471" s="1" t="s">
        <v>27</v>
      </c>
      <c r="F471" s="1" t="s">
        <v>774</v>
      </c>
      <c r="G471" s="1">
        <v>704.2</v>
      </c>
      <c r="H471" s="1">
        <v>142955</v>
      </c>
      <c r="I471" s="1" t="s">
        <v>91</v>
      </c>
      <c r="J471" s="1">
        <v>16468</v>
      </c>
      <c r="K471" s="1">
        <v>109360</v>
      </c>
    </row>
    <row r="472" spans="1:11" x14ac:dyDescent="0.2">
      <c r="A472" s="1" t="s">
        <v>486</v>
      </c>
      <c r="B472" s="1" t="s">
        <v>45</v>
      </c>
      <c r="C472" s="15">
        <v>42216</v>
      </c>
      <c r="D472" s="1" t="s">
        <v>23</v>
      </c>
      <c r="E472" s="1" t="s">
        <v>27</v>
      </c>
      <c r="F472" s="1" t="s">
        <v>774</v>
      </c>
      <c r="G472" s="1">
        <v>426.2</v>
      </c>
      <c r="H472" s="1">
        <v>142977</v>
      </c>
      <c r="I472" s="1" t="s">
        <v>53</v>
      </c>
      <c r="J472" s="1">
        <v>16468</v>
      </c>
      <c r="K472" s="1">
        <v>108730</v>
      </c>
    </row>
    <row r="473" spans="1:11" x14ac:dyDescent="0.2">
      <c r="A473" s="1" t="s">
        <v>486</v>
      </c>
      <c r="B473" s="1" t="s">
        <v>45</v>
      </c>
      <c r="C473" s="15">
        <v>42216</v>
      </c>
      <c r="D473" s="1" t="s">
        <v>23</v>
      </c>
      <c r="E473" s="1" t="s">
        <v>27</v>
      </c>
      <c r="F473" s="1" t="s">
        <v>774</v>
      </c>
      <c r="G473" s="1">
        <v>376.2</v>
      </c>
      <c r="H473" s="1">
        <v>143033</v>
      </c>
      <c r="I473" s="1" t="s">
        <v>93</v>
      </c>
      <c r="J473" s="1">
        <v>16468</v>
      </c>
      <c r="K473" s="1">
        <v>109362</v>
      </c>
    </row>
    <row r="474" spans="1:11" x14ac:dyDescent="0.2">
      <c r="A474" s="1" t="s">
        <v>486</v>
      </c>
      <c r="B474" s="1" t="s">
        <v>45</v>
      </c>
      <c r="C474" s="15">
        <v>42216</v>
      </c>
      <c r="D474" s="1" t="s">
        <v>23</v>
      </c>
      <c r="E474" s="1" t="s">
        <v>27</v>
      </c>
      <c r="F474" s="1" t="s">
        <v>774</v>
      </c>
      <c r="G474" s="1">
        <v>350.2</v>
      </c>
      <c r="H474" s="1">
        <v>142978</v>
      </c>
      <c r="I474" s="1" t="s">
        <v>56</v>
      </c>
      <c r="J474" s="1">
        <v>16468</v>
      </c>
      <c r="K474" s="1">
        <v>109313</v>
      </c>
    </row>
    <row r="475" spans="1:11" x14ac:dyDescent="0.2">
      <c r="A475" s="1" t="s">
        <v>486</v>
      </c>
      <c r="B475" s="1" t="s">
        <v>45</v>
      </c>
      <c r="C475" s="15">
        <v>42216</v>
      </c>
      <c r="D475" s="1" t="s">
        <v>23</v>
      </c>
      <c r="E475" s="1" t="s">
        <v>27</v>
      </c>
      <c r="F475" s="1" t="s">
        <v>774</v>
      </c>
      <c r="G475" s="1">
        <v>42</v>
      </c>
      <c r="H475" s="1">
        <v>142980</v>
      </c>
      <c r="I475" s="1" t="s">
        <v>141</v>
      </c>
      <c r="J475" s="1">
        <v>16468</v>
      </c>
      <c r="K475" s="1">
        <v>110502</v>
      </c>
    </row>
    <row r="476" spans="1:11" x14ac:dyDescent="0.2">
      <c r="A476" s="1" t="s">
        <v>486</v>
      </c>
      <c r="B476" s="1" t="s">
        <v>45</v>
      </c>
      <c r="C476" s="15">
        <v>42216</v>
      </c>
      <c r="D476" s="1" t="s">
        <v>23</v>
      </c>
      <c r="E476" s="1" t="s">
        <v>27</v>
      </c>
      <c r="F476" s="1" t="s">
        <v>774</v>
      </c>
      <c r="G476" s="1">
        <v>42</v>
      </c>
      <c r="H476" s="1">
        <v>143022</v>
      </c>
      <c r="I476" s="1" t="s">
        <v>142</v>
      </c>
      <c r="J476" s="1">
        <v>16468</v>
      </c>
      <c r="K476" s="1">
        <v>110504</v>
      </c>
    </row>
    <row r="477" spans="1:11" x14ac:dyDescent="0.2">
      <c r="A477" s="1" t="s">
        <v>486</v>
      </c>
      <c r="B477" s="1" t="s">
        <v>45</v>
      </c>
      <c r="C477" s="15">
        <v>42216</v>
      </c>
      <c r="D477" s="1" t="s">
        <v>23</v>
      </c>
      <c r="E477" s="1" t="s">
        <v>27</v>
      </c>
      <c r="F477" s="1" t="s">
        <v>774</v>
      </c>
      <c r="G477" s="1">
        <v>10</v>
      </c>
      <c r="H477" s="1">
        <v>142955</v>
      </c>
      <c r="I477" s="1" t="s">
        <v>144</v>
      </c>
      <c r="J477" s="1">
        <v>16468</v>
      </c>
      <c r="K477" s="1">
        <v>110506</v>
      </c>
    </row>
    <row r="478" spans="1:11" x14ac:dyDescent="0.2">
      <c r="A478" s="1" t="s">
        <v>486</v>
      </c>
      <c r="B478" s="1" t="s">
        <v>45</v>
      </c>
      <c r="C478" s="15">
        <v>42216</v>
      </c>
      <c r="D478" s="1" t="s">
        <v>23</v>
      </c>
      <c r="E478" s="1" t="s">
        <v>27</v>
      </c>
      <c r="F478" s="1" t="s">
        <v>774</v>
      </c>
      <c r="G478" s="1">
        <v>42</v>
      </c>
      <c r="H478" s="1">
        <v>143033</v>
      </c>
      <c r="I478" s="1" t="s">
        <v>146</v>
      </c>
      <c r="J478" s="1">
        <v>16468</v>
      </c>
      <c r="K478" s="1">
        <v>110508</v>
      </c>
    </row>
    <row r="479" spans="1:11" x14ac:dyDescent="0.2">
      <c r="A479" s="1" t="s">
        <v>486</v>
      </c>
      <c r="B479" s="1" t="s">
        <v>45</v>
      </c>
      <c r="C479" s="15">
        <v>42216</v>
      </c>
      <c r="D479" s="1" t="s">
        <v>23</v>
      </c>
      <c r="E479" s="1" t="s">
        <v>27</v>
      </c>
      <c r="F479" s="1" t="s">
        <v>774</v>
      </c>
      <c r="G479" s="1">
        <v>44</v>
      </c>
      <c r="H479" s="1">
        <v>143028</v>
      </c>
      <c r="I479" s="1" t="s">
        <v>147</v>
      </c>
      <c r="J479" s="1">
        <v>16468</v>
      </c>
      <c r="K479" s="1">
        <v>110510</v>
      </c>
    </row>
    <row r="480" spans="1:11" x14ac:dyDescent="0.2">
      <c r="A480" s="1" t="s">
        <v>486</v>
      </c>
      <c r="B480" s="1" t="s">
        <v>45</v>
      </c>
      <c r="C480" s="15">
        <v>42216</v>
      </c>
      <c r="D480" s="1" t="s">
        <v>23</v>
      </c>
      <c r="E480" s="1" t="s">
        <v>27</v>
      </c>
      <c r="F480" s="1" t="s">
        <v>774</v>
      </c>
      <c r="G480" s="1">
        <v>42</v>
      </c>
      <c r="H480" s="1">
        <v>142970</v>
      </c>
      <c r="I480" s="1" t="s">
        <v>149</v>
      </c>
      <c r="J480" s="1">
        <v>16468</v>
      </c>
      <c r="K480" s="1">
        <v>110512</v>
      </c>
    </row>
    <row r="481" spans="1:11" x14ac:dyDescent="0.2">
      <c r="A481" s="1" t="s">
        <v>486</v>
      </c>
      <c r="B481" s="1" t="s">
        <v>45</v>
      </c>
      <c r="C481" s="15">
        <v>42216</v>
      </c>
      <c r="D481" s="1" t="s">
        <v>23</v>
      </c>
      <c r="E481" s="1" t="s">
        <v>27</v>
      </c>
      <c r="F481" s="1" t="s">
        <v>774</v>
      </c>
      <c r="G481" s="1">
        <v>20</v>
      </c>
      <c r="H481" s="1">
        <v>142996</v>
      </c>
      <c r="I481" s="1" t="s">
        <v>150</v>
      </c>
      <c r="J481" s="1">
        <v>16468</v>
      </c>
      <c r="K481" s="1">
        <v>110514</v>
      </c>
    </row>
    <row r="482" spans="1:11" x14ac:dyDescent="0.2">
      <c r="A482" s="1" t="s">
        <v>486</v>
      </c>
      <c r="B482" s="1" t="s">
        <v>45</v>
      </c>
      <c r="C482" s="15">
        <v>42216</v>
      </c>
      <c r="D482" s="1" t="s">
        <v>23</v>
      </c>
      <c r="E482" s="1" t="s">
        <v>26</v>
      </c>
      <c r="F482" s="1" t="s">
        <v>773</v>
      </c>
      <c r="G482" s="1">
        <v>69.5</v>
      </c>
      <c r="H482" s="1">
        <v>142981</v>
      </c>
      <c r="I482" s="1" t="s">
        <v>465</v>
      </c>
      <c r="J482" s="1">
        <v>16468</v>
      </c>
      <c r="K482" s="1">
        <v>110532</v>
      </c>
    </row>
    <row r="483" spans="1:11" x14ac:dyDescent="0.2">
      <c r="A483" s="1" t="s">
        <v>486</v>
      </c>
      <c r="B483" s="1" t="s">
        <v>45</v>
      </c>
      <c r="C483" s="15">
        <v>42216</v>
      </c>
      <c r="D483" s="1" t="s">
        <v>23</v>
      </c>
      <c r="E483" s="1" t="s">
        <v>26</v>
      </c>
      <c r="F483" s="1" t="s">
        <v>773</v>
      </c>
      <c r="G483" s="1">
        <v>98</v>
      </c>
      <c r="H483" s="1">
        <v>142973</v>
      </c>
      <c r="I483" s="1" t="s">
        <v>467</v>
      </c>
      <c r="J483" s="1">
        <v>16468</v>
      </c>
      <c r="K483" s="1">
        <v>110696</v>
      </c>
    </row>
    <row r="484" spans="1:11" x14ac:dyDescent="0.2">
      <c r="A484" s="1" t="s">
        <v>486</v>
      </c>
      <c r="B484" s="1" t="s">
        <v>45</v>
      </c>
      <c r="C484" s="15">
        <v>42216</v>
      </c>
      <c r="D484" s="1" t="s">
        <v>23</v>
      </c>
      <c r="E484" s="1" t="s">
        <v>26</v>
      </c>
      <c r="F484" s="1" t="s">
        <v>773</v>
      </c>
      <c r="G484" s="1">
        <v>45.75</v>
      </c>
      <c r="H484" s="1">
        <v>143030</v>
      </c>
      <c r="I484" s="1" t="s">
        <v>469</v>
      </c>
      <c r="J484" s="1">
        <v>16468</v>
      </c>
      <c r="K484" s="1">
        <v>111022</v>
      </c>
    </row>
    <row r="485" spans="1:11" x14ac:dyDescent="0.2">
      <c r="A485" s="1" t="s">
        <v>486</v>
      </c>
      <c r="B485" s="1" t="s">
        <v>45</v>
      </c>
      <c r="C485" s="15">
        <v>42216</v>
      </c>
      <c r="D485" s="1" t="s">
        <v>23</v>
      </c>
      <c r="E485" s="1" t="s">
        <v>26</v>
      </c>
      <c r="F485" s="1" t="s">
        <v>773</v>
      </c>
      <c r="G485" s="1">
        <v>96.16</v>
      </c>
      <c r="H485" s="1">
        <v>143041</v>
      </c>
      <c r="I485" s="1" t="s">
        <v>472</v>
      </c>
      <c r="J485" s="1">
        <v>16468</v>
      </c>
      <c r="K485" s="1">
        <v>111289</v>
      </c>
    </row>
    <row r="486" spans="1:11" x14ac:dyDescent="0.2">
      <c r="A486" s="1" t="s">
        <v>486</v>
      </c>
      <c r="B486" s="1" t="s">
        <v>45</v>
      </c>
      <c r="C486" s="15">
        <v>42216</v>
      </c>
      <c r="D486" s="1" t="s">
        <v>23</v>
      </c>
      <c r="E486" s="1" t="s">
        <v>26</v>
      </c>
      <c r="F486" s="1" t="s">
        <v>773</v>
      </c>
      <c r="G486" s="1">
        <v>75</v>
      </c>
      <c r="H486" s="1">
        <v>142980</v>
      </c>
      <c r="I486" s="1" t="s">
        <v>474</v>
      </c>
      <c r="J486" s="1">
        <v>16468</v>
      </c>
      <c r="K486" s="1">
        <v>112363</v>
      </c>
    </row>
    <row r="487" spans="1:11" x14ac:dyDescent="0.2">
      <c r="A487" s="1" t="s">
        <v>486</v>
      </c>
      <c r="B487" s="1" t="s">
        <v>45</v>
      </c>
      <c r="C487" s="15">
        <v>42216</v>
      </c>
      <c r="D487" s="1" t="s">
        <v>23</v>
      </c>
      <c r="E487" s="1" t="s">
        <v>27</v>
      </c>
      <c r="F487" s="1" t="s">
        <v>774</v>
      </c>
      <c r="G487" s="1">
        <v>37</v>
      </c>
      <c r="H487" s="1">
        <v>143042</v>
      </c>
      <c r="I487" s="1" t="s">
        <v>137</v>
      </c>
      <c r="J487" s="1">
        <v>16468</v>
      </c>
      <c r="K487" s="1">
        <v>110498</v>
      </c>
    </row>
    <row r="488" spans="1:11" x14ac:dyDescent="0.2">
      <c r="A488" s="1" t="s">
        <v>486</v>
      </c>
      <c r="B488" s="1" t="s">
        <v>45</v>
      </c>
      <c r="C488" s="15">
        <v>42216</v>
      </c>
      <c r="D488" s="1" t="s">
        <v>23</v>
      </c>
      <c r="E488" s="1" t="s">
        <v>27</v>
      </c>
      <c r="F488" s="1" t="s">
        <v>774</v>
      </c>
      <c r="G488" s="1">
        <v>10</v>
      </c>
      <c r="H488" s="1">
        <v>142972</v>
      </c>
      <c r="I488" s="1" t="s">
        <v>139</v>
      </c>
      <c r="J488" s="1">
        <v>16468</v>
      </c>
      <c r="K488" s="1">
        <v>110500</v>
      </c>
    </row>
  </sheetData>
  <sortState ref="A2:J1406">
    <sortCondition ref="B2:B1406"/>
    <sortCondition ref="E2:E140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0.7109375" defaultRowHeight="11.25" x14ac:dyDescent="0.2"/>
  <cols>
    <col min="1" max="1" width="67" style="4" customWidth="1"/>
    <col min="2" max="16384" width="10.7109375" style="4"/>
  </cols>
  <sheetData>
    <row r="1" spans="1:1" ht="409.5" x14ac:dyDescent="0.2">
      <c r="A1" s="3" t="s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CrossCheck</vt:lpstr>
      <vt:lpstr>AggSpendReport</vt:lpstr>
      <vt:lpstr>Stat</vt:lpstr>
      <vt:lpstr>sql</vt:lpstr>
      <vt:lpstr>CrossCheck!Print_Titles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Hodge</dc:creator>
  <cp:lastModifiedBy>Michael Hodge</cp:lastModifiedBy>
  <cp:lastPrinted>2015-09-11T20:04:30Z</cp:lastPrinted>
  <dcterms:created xsi:type="dcterms:W3CDTF">2015-06-19T16:22:26Z</dcterms:created>
  <dcterms:modified xsi:type="dcterms:W3CDTF">2016-02-11T17:08:18Z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c238aa2d-d18d-4c47-932d-3b347b3d4c77</vt:lpwstr>
  </property>
</Properties>
</file>